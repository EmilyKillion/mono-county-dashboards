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EADME" sheetId="1" state="visible" r:id="rId3"/>
    <sheet name="Config" sheetId="2" state="visible" r:id="rId4"/>
    <sheet name="Weekly_Local" sheetId="3" state="visible" r:id="rId5"/>
    <sheet name="Weekly_ELR" sheetId="4" state="visible" r:id="rId6"/>
    <sheet name="Seasons" sheetId="5" state="visible" r:id="rId7"/>
    <sheet name="Wastewater_History" sheetId="6" state="visible" r:id="rId8"/>
    <sheet name="Wastewater_Local" sheetId="7" state="visible" r:id="rId9"/>
    <sheet name="State_National" sheetId="8" state="visible" r:id="rId10"/>
    <sheet name="Flu_Age_Vax" sheetId="9" state="visible" r:id="rId11"/>
    <sheet name="Highligh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Enter the Monday that starts the week. The dashboard derives MMWR week and season from this date.</t>
        </r>
      </text>
    </comment>
    <comment ref="B1" authorId="0">
      <text>
        <r>
          <rPr>
            <sz val="10"/>
            <rFont val="Arial"/>
            <family val="2"/>
          </rPr>
          <t xml:space="preserve">Mono County residents, from CalREDIE by report date (columns B-D). Covid = confirmed + probable; flu and RSV = initial reports. Weeks with no reports are 0.</t>
        </r>
      </text>
    </comment>
    <comment ref="E1" authorId="0">
      <text>
        <r>
          <rPr>
            <sz val="10"/>
            <rFont val="Arial"/>
            <family val="2"/>
          </rPr>
          <t xml:space="preserve">Mammoth Hospital weekly report. "Total" = all patients including visitors; "local" = Mono County residents. Flu A/B and vaccination status refer to the MH flu total.</t>
        </r>
      </text>
    </comment>
    <comment ref="R1" authorId="0">
      <text>
        <r>
          <rPr>
            <sz val="10"/>
            <rFont val="Arial"/>
            <family val="2"/>
          </rPr>
          <t xml:space="preserve">Calculated: week-ending Saturday, MMWR year/week, and season (MMWR week 36 through 35). Do not edit; the Seasons sheet uses these.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All values are formulas. To fix a number, edit it in Weekly_Local, not here.</t>
        </r>
      </text>
    </comment>
    <comment ref="G4" authorId="0">
      <text>
        <r>
          <rPr>
            <sz val="10"/>
            <rFont val="Arial"/>
            <family val="2"/>
          </rPr>
          <t xml:space="preserve">Calculated from the Season start date in Config; shows the Monday–Sunday dates each MMWR week covers in the current season.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Read-only history through 9/7/2026 (Verily contract ended 9/14/2026). New weeks go in Wastewater_Local; the dashboard joins the two.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Weekly "pathogen trend" value from the Verily dashboard for the Mammoth plant (publichealth.verily.com), ratio of virus to PMMoV x 1M.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Enter as a fraction (0.12 = 12%). Source: CDPH Respiratory Virus Report, test positivity, Southern California region. US columns are fallback only; the dashboard pulls CDC NREVSS live.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Season-to-date counts. Add a new block of rows for each season; the dashboard shows the current season.</t>
        </r>
      </text>
    </comment>
  </commentList>
</comments>
</file>

<file path=xl/sharedStrings.xml><?xml version="1.0" encoding="utf-8"?>
<sst xmlns="http://schemas.openxmlformats.org/spreadsheetml/2006/main" count="263" uniqueCount="140">
  <si>
    <t xml:space="preserve">Mono County Respiratory Virus Tracker</t>
  </si>
  <si>
    <t xml:space="preserve">Feeds the Respiratory Virus Dashboard (index.html). Update the yellow cells weekly, save, and reload the dashboard.</t>
  </si>
  <si>
    <t xml:space="preserve">How to update each week</t>
  </si>
  <si>
    <t xml:space="preserve">1. Weekly_Local: add one row per week (Monday date). Case counts from CalREDIE; admissions, Flu A/B, and vax status from Mammoth Hospital.</t>
  </si>
  <si>
    <t xml:space="preserve">2. Weekly_ELR: enter positive and negative ELR counts; percent positivity is calculated.</t>
  </si>
  <si>
    <t xml:space="preserve">3. Wastewater_Local: enter Verily values for the Mammoth plant and the current UC Davis trend table. These also feed the Cases vs wastewater tab.</t>
  </si>
  <si>
    <t xml:space="preserve">4. State_National: optional manual entry from CDPH Respiratory Virus Report and CalCAT. CDC wastewater and NREVSS positivity load live in the dashboard; these cells are the fallback if the live pull fails.</t>
  </si>
  <si>
    <t xml:space="preserve">5. Flu_Age_Vax: season-to-date flu cases by age group and vaccination status.</t>
  </si>
  <si>
    <t xml:space="preserve">6. Highlights: bullets shown on the dashboard Overview; newest first.</t>
  </si>
  <si>
    <t xml:space="preserve">7. Config: set the current season label and report date.</t>
  </si>
  <si>
    <t xml:space="preserve">Conventions</t>
  </si>
  <si>
    <t xml:space="preserve">Yellow cells are inputs. Blue-grey cells are formulas; do not type over them.</t>
  </si>
  <si>
    <t xml:space="preserve">Week = Monday start date, matching the prior tracker. MMWR week and season are computed by the dashboard from the date (week ending Saturday). A season runs MMWR week 36 through week 35 of the following year.</t>
  </si>
  <si>
    <t xml:space="preserve">Note: the week of 12/29/2025 is MMWR week 53 of 2025; the prior tracker labeled it week 1, so the 2025-26 curve shifts one week right compared with last year's slides.</t>
  </si>
  <si>
    <t xml:space="preserve">Leave a cell blank when a value was not collected; enter 0 only for a true zero.</t>
  </si>
  <si>
    <t xml:space="preserve">Do not rename sheets or column headers; the dashboard reads them by name.</t>
  </si>
  <si>
    <t xml:space="preserve">Prefill</t>
  </si>
  <si>
    <t xml:space="preserve">Weekly_Local runs from 11/28/2022. Case counts for all weeks come from CalREDIE exports by report date (Covid confirmed + probable; flu and RSV initial reports). Mammoth Hospital columns were carried over from the Winter23, Winter24, and Winter25 trackers (see Notes). ELR history starts 12/25/2023. The Seasons sheet is formula-driven from Weekly_Local. Verily wastewater Oct 2024 to 9/2026 is in Wastewater_History (read-only).</t>
  </si>
  <si>
    <t xml:space="preserve">2026-27 rows are pre-dated (Monday 9/7/2026 through 5/31/2027) in Weekly_Local, Weekly_ELR, Wastewater_Local, and State_National. Fill values into the matching week; a dated row with no values is ignored by the dashboard.</t>
  </si>
  <si>
    <t xml:space="preserve">Setting</t>
  </si>
  <si>
    <t xml:space="preserve">Value</t>
  </si>
  <si>
    <t xml:space="preserve">Notes</t>
  </si>
  <si>
    <t xml:space="preserve">Current season</t>
  </si>
  <si>
    <t xml:space="preserve">2026-27</t>
  </si>
  <si>
    <t xml:space="preserve">Label shown in the dashboard; format YYYY-YY</t>
  </si>
  <si>
    <t xml:space="preserve">Season start date</t>
  </si>
  <si>
    <t xml:space="preserve">Monday of the first week of the season (MMWR week 36). For 2026 that is 9/7/2026.</t>
  </si>
  <si>
    <t xml:space="preserve">Report date</t>
  </si>
  <si>
    <t xml:space="preserve">Shown on the dashboard header and print cover</t>
  </si>
  <si>
    <t xml:space="preserve">Jurisdiction</t>
  </si>
  <si>
    <t xml:space="preserve">Mono County</t>
  </si>
  <si>
    <t xml:space="preserve">Wastewater site name</t>
  </si>
  <si>
    <t xml:space="preserve">Mammoth Lakes (Verily)</t>
  </si>
  <si>
    <t xml:space="preserve">Label for the local wastewater series</t>
  </si>
  <si>
    <t xml:space="preserve">Prepared by</t>
  </si>
  <si>
    <t xml:space="preserve">Mono County Health &amp; Human Services, Public Health Division</t>
  </si>
  <si>
    <t xml:space="preserve">Wastewater note</t>
  </si>
  <si>
    <t xml:space="preserve">Wastewater sampling paused after 9/9/2026 (Verily contract ended 9/14/2026); resumes late September 2026 under a new contract.</t>
  </si>
  <si>
    <t xml:space="preserve">Shown on the wastewater panels; clear it when sampling resumes</t>
  </si>
  <si>
    <t xml:space="preserve">Week (Mon)</t>
  </si>
  <si>
    <t xml:space="preserve">Covid-19 cases</t>
  </si>
  <si>
    <t xml:space="preserve">Flu cases</t>
  </si>
  <si>
    <t xml:space="preserve">RSV cases</t>
  </si>
  <si>
    <t xml:space="preserve">MH Covid (total)</t>
  </si>
  <si>
    <t xml:space="preserve">MH Covid (local)</t>
  </si>
  <si>
    <t xml:space="preserve">MH Flu (total)</t>
  </si>
  <si>
    <t xml:space="preserve">MH Flu (local)</t>
  </si>
  <si>
    <t xml:space="preserve">MH RSV (total)</t>
  </si>
  <si>
    <t xml:space="preserve">MH RSV (local)</t>
  </si>
  <si>
    <t xml:space="preserve">MH Flu A</t>
  </si>
  <si>
    <t xml:space="preserve">MH Flu B</t>
  </si>
  <si>
    <t xml:space="preserve">MH Flu A+B</t>
  </si>
  <si>
    <t xml:space="preserve">MH Flu vax 'Yes'</t>
  </si>
  <si>
    <t xml:space="preserve">MH Flu vax 'No'/'Unknown'</t>
  </si>
  <si>
    <t xml:space="preserve">MH Flu vax rate</t>
  </si>
  <si>
    <t xml:space="preserve">Week ending (Sat)</t>
  </si>
  <si>
    <t xml:space="preserve">MMWR year</t>
  </si>
  <si>
    <t xml:space="preserve">MMWR week</t>
  </si>
  <si>
    <t xml:space="preserve">Season</t>
  </si>
  <si>
    <t xml:space="preserve">MH data from Winter23Tracker</t>
  </si>
  <si>
    <t xml:space="preserve">MH data from Winter24Tracker</t>
  </si>
  <si>
    <t xml:space="preserve">2026-27 season starts here (MMWR week 36)</t>
  </si>
  <si>
    <t xml:space="preserve">Covid positive</t>
  </si>
  <si>
    <t xml:space="preserve">Covid negative</t>
  </si>
  <si>
    <t xml:space="preserve">Covid % pos</t>
  </si>
  <si>
    <t xml:space="preserve">Flu positive</t>
  </si>
  <si>
    <t xml:space="preserve">Flu negative</t>
  </si>
  <si>
    <t xml:space="preserve">Flu % pos</t>
  </si>
  <si>
    <t xml:space="preserve">RSV positive</t>
  </si>
  <si>
    <t xml:space="preserve">RSV negative</t>
  </si>
  <si>
    <t xml:space="preserve">RSV % pos</t>
  </si>
  <si>
    <t xml:space="preserve">2026-27 season starts here</t>
  </si>
  <si>
    <t xml:space="preserve">Weekly reported cases by MMWR week and season, calculated from Weekly_Local; blank until that week is entered. The dates column shows which Monday–Sunday each MMWR week covers in the season set in Config. MMWR week 53 exists only in some years.</t>
  </si>
  <si>
    <t xml:space="preserve">Covid-19</t>
  </si>
  <si>
    <t xml:space="preserve">2022-23</t>
  </si>
  <si>
    <t xml:space="preserve">2023-24</t>
  </si>
  <si>
    <t xml:space="preserve">2024-25</t>
  </si>
  <si>
    <t xml:space="preserve">2025-26</t>
  </si>
  <si>
    <t xml:space="preserve">Dates, current season (Mon–Sun)</t>
  </si>
  <si>
    <t xml:space="preserve">Flu</t>
  </si>
  <si>
    <t xml:space="preserve">RSV</t>
  </si>
  <si>
    <t xml:space="preserve">SARS-CoV-2</t>
  </si>
  <si>
    <t xml:space="preserve">Influenza A</t>
  </si>
  <si>
    <t xml:space="preserve">Influenza B</t>
  </si>
  <si>
    <t xml:space="preserve">Influenza A (H5)</t>
  </si>
  <si>
    <t xml:space="preserve">Influenza A (H1)</t>
  </si>
  <si>
    <t xml:space="preserve">Influenza A (H3)</t>
  </si>
  <si>
    <t xml:space="preserve">Measles</t>
  </si>
  <si>
    <t xml:space="preserve">Mpox clade I</t>
  </si>
  <si>
    <t xml:space="preserve">Mpox clade II</t>
  </si>
  <si>
    <t xml:space="preserve">Norovirus GII</t>
  </si>
  <si>
    <t xml:space="preserve">Samples</t>
  </si>
  <si>
    <t xml:space="preserve">Mammoth Community Water District, Verily (ddPCR). Weekly mean across samples of (target copies/L ÷ PMMoV copies/L) × 1,000,000. Blank = target not assayed that week; 0 = not detected.</t>
  </si>
  <si>
    <t xml:space="preserve">UC Davis trend table (current snapshot)</t>
  </si>
  <si>
    <t xml:space="preserve">Pathogen</t>
  </si>
  <si>
    <t xml:space="preserve">Trend</t>
  </si>
  <si>
    <t xml:space="preserve">Percent change</t>
  </si>
  <si>
    <t xml:space="preserve">Level</t>
  </si>
  <si>
    <t xml:space="preserve">As of</t>
  </si>
  <si>
    <t xml:space="preserve">No Trend</t>
  </si>
  <si>
    <t xml:space="preserve">Medium</t>
  </si>
  <si>
    <t xml:space="preserve">ND</t>
  </si>
  <si>
    <t xml:space="preserve">Low</t>
  </si>
  <si>
    <t xml:space="preserve">H1</t>
  </si>
  <si>
    <t xml:space="preserve">H3</t>
  </si>
  <si>
    <t xml:space="preserve">H5</t>
  </si>
  <si>
    <t xml:space="preserve">Sporadic</t>
  </si>
  <si>
    <t xml:space="preserve">Overwrite weekly from cricelio.shinyapps.io/Monodashboard. Leave blank until the first 2026-27 update.</t>
  </si>
  <si>
    <t xml:space="preserve">CA Covid % pos</t>
  </si>
  <si>
    <t xml:space="preserve">CA Flu % pos</t>
  </si>
  <si>
    <t xml:space="preserve">CA RSV % pos</t>
  </si>
  <si>
    <t xml:space="preserve">CA combined burden</t>
  </si>
  <si>
    <t xml:space="preserve">CA Covid R-eff</t>
  </si>
  <si>
    <t xml:space="preserve">US Covid % pos</t>
  </si>
  <si>
    <t xml:space="preserve">US Flu % pos</t>
  </si>
  <si>
    <t xml:space="preserve">US RSV % pos</t>
  </si>
  <si>
    <t xml:space="preserve">Moderate</t>
  </si>
  <si>
    <t xml:space="preserve">https://www.cdph.ca.gov/Programs/CID/DCDC/Pages/RespiratoryVirusReport.aspx</t>
  </si>
  <si>
    <t xml:space="preserve">Age group</t>
  </si>
  <si>
    <t xml:space="preserve">Vax No</t>
  </si>
  <si>
    <t xml:space="preserve">Vax Yes</t>
  </si>
  <si>
    <t xml:space="preserve">Vax Unknown</t>
  </si>
  <si>
    <t xml:space="preserve">Total</t>
  </si>
  <si>
    <t xml:space="preserve">% vaccinated</t>
  </si>
  <si>
    <t xml:space="preserve">0–4 yrs</t>
  </si>
  <si>
    <t xml:space="preserve">5–17 yrs</t>
  </si>
  <si>
    <t xml:space="preserve">18–49 yrs</t>
  </si>
  <si>
    <t xml:space="preserve">50–64 yrs</t>
  </si>
  <si>
    <t xml:space="preserve">65+ yrs</t>
  </si>
  <si>
    <t xml:space="preserve">Date</t>
  </si>
  <si>
    <t xml:space="preserve">Highlight</t>
  </si>
  <si>
    <t xml:space="preserve">Source link</t>
  </si>
  <si>
    <t xml:space="preserve">RSV activity remains elevated in California. CDPH has extended the recommendation for RSV immunization (nirsevimab, clesrovimab) of eligible infants and children through April 30, 2026.</t>
  </si>
  <si>
    <t xml:space="preserve">https://www.cdph.ca.gov/Programs/CID/DCDC/Pages/Respiratory-Viruses/Home.aspx</t>
  </si>
  <si>
    <t xml:space="preserve">Seasonal flu is still circulating across California but activity is declining.</t>
  </si>
  <si>
    <t xml:space="preserve">Mono County reported 1 Covid-19 case, 0 flu cases, and 0 RSV cases for the week of 10/5–10/11. Season-to-date totals since 9/7 are 18 Covid-19 cases, 1 flu case, and 1 RSV case.</t>
  </si>
  <si>
    <t xml:space="preserve">Covid-19 test positivity in Mono County fell to 14% (1 of 7 tests), down from 31% the prior week. All 11 flu tests and all 11 RSV tests reported this week were negative.</t>
  </si>
  <si>
    <t xml:space="preserve">Mammoth Hospital reported 2 flu patients this week, neither a Mono County resident. There were no Covid-19 or RSV patients. Local wastewater sampling has been paused since 9/9 and is expected to resume this week.</t>
  </si>
  <si>
    <t xml:space="preserve">California is seeing an early rise in flu activity. Statewide flu test positivity reached 8.8%, up from 2.9% in early September. Positive tests, emergency department visits, and hospitalizations are above September–October levels in prior seasons, and the Bay Area is reporting very high flu test positivity. Covid-19 activity in California continues to decline, with statewide test positivity at 8.6%.</t>
  </si>
  <si>
    <t xml:space="preserve">Flu and Covid-19 vaccination is recommended for everyone 6 months and older. CDPH's Respiratory Virus Hub has information on prevention, vaccination, testing, and treatment.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</si>
</sst>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A52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sz val="10"/>
      <name val="Arial"/>
      <family val="2"/>
    </font>
    <font>
      <b val="true"/>
      <sz val="11"/>
      <color rgb="FF0F3A52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3A52"/>
        <bgColor rgb="FF333333"/>
      </patternFill>
    </fill>
    <fill>
      <patternFill patternType="solid">
        <fgColor rgb="FFEAF0F4"/>
        <bgColor rgb="FFFFF9DB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B"/>
      </left>
      <right style="thin">
        <color rgb="FFC9D3DB"/>
      </right>
      <top style="thin">
        <color rgb="FFC9D3DB"/>
      </top>
      <bottom style="thin">
        <color rgb="FFC9D3D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AF0F4"/>
      <rgbColor rgb="FF660066"/>
      <rgbColor rgb="FFFF8080"/>
      <rgbColor rgb="FF0066CC"/>
      <rgbColor rgb="FFC9D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A5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www.cdph.ca.gov/Programs/CID/DCDC/Pages/RespiratoryVirusReport.aspx" TargetMode="External"/><Relationship Id="rId3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cdph.ca.gov/Programs/CID/DCDC/Pages/RespiratoryVirusReport.aspx" TargetMode="External"/><Relationship Id="rId2" Type="http://schemas.openxmlformats.org/officeDocument/2006/relationships/hyperlink" Target="https://www.cdph.ca.gov/Programs/CID/DCDC/Pages/Respiratory-Viruses/Home.asp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8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7.75" hidden="false" customHeight="tru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27.75" hidden="false" customHeight="true" outlineLevel="0" collapsed="false">
      <c r="A15" s="2" t="s">
        <v>12</v>
      </c>
    </row>
    <row r="16" customFormat="false" ht="27.75" hidden="false" customHeight="tru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42" hidden="false" customHeight="true" outlineLevel="0" collapsed="false">
      <c r="A21" s="2" t="s">
        <v>17</v>
      </c>
    </row>
    <row r="22" customFormat="false" ht="27.75" hidden="false" customHeight="tru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21</v>
      </c>
    </row>
    <row r="2" customFormat="false" ht="15" hidden="false" customHeight="false" outlineLevel="0" collapsed="false">
      <c r="A2" s="5" t="s">
        <v>22</v>
      </c>
      <c r="B2" s="6" t="s">
        <v>23</v>
      </c>
      <c r="C2" s="7" t="s">
        <v>24</v>
      </c>
    </row>
    <row r="3" customFormat="false" ht="15" hidden="false" customHeight="false" outlineLevel="0" collapsed="false">
      <c r="A3" s="5" t="s">
        <v>25</v>
      </c>
      <c r="B3" s="8" t="n">
        <v>46272</v>
      </c>
      <c r="C3" s="7" t="s">
        <v>26</v>
      </c>
    </row>
    <row r="4" customFormat="false" ht="15" hidden="false" customHeight="false" outlineLevel="0" collapsed="false">
      <c r="A4" s="5" t="s">
        <v>27</v>
      </c>
      <c r="B4" s="8" t="n">
        <v>46280</v>
      </c>
      <c r="C4" s="7" t="s">
        <v>28</v>
      </c>
    </row>
    <row r="5" customFormat="false" ht="15" hidden="false" customHeight="false" outlineLevel="0" collapsed="false">
      <c r="A5" s="5" t="s">
        <v>29</v>
      </c>
      <c r="B5" s="6" t="s">
        <v>30</v>
      </c>
      <c r="C5" s="7"/>
    </row>
    <row r="6" customFormat="false" ht="15" hidden="false" customHeight="false" outlineLevel="0" collapsed="false">
      <c r="A6" s="5" t="s">
        <v>31</v>
      </c>
      <c r="B6" s="6" t="s">
        <v>32</v>
      </c>
      <c r="C6" s="7" t="s">
        <v>33</v>
      </c>
    </row>
    <row r="7" customFormat="false" ht="15" hidden="false" customHeight="false" outlineLevel="0" collapsed="false">
      <c r="A7" s="5" t="s">
        <v>34</v>
      </c>
      <c r="B7" s="6" t="s">
        <v>35</v>
      </c>
      <c r="C7" s="7"/>
    </row>
    <row r="8" customFormat="false" ht="42" hidden="false" customHeight="true" outlineLevel="0" collapsed="false">
      <c r="A8" s="5" t="s">
        <v>36</v>
      </c>
      <c r="B8" s="9" t="s">
        <v>37</v>
      </c>
      <c r="C8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81" activePane="bottomLeft" state="frozen"/>
      <selection pane="topLeft" activeCell="A1" activeCellId="0" sqref="A1"/>
      <selection pane="bottomLeft" activeCell="H206" activeCellId="0" sqref="H206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10" min="5" style="0" width="10"/>
    <col collapsed="false" customWidth="true" hidden="false" outlineLevel="0" max="13" min="11" style="0" width="9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40"/>
    <col collapsed="false" customWidth="true" hidden="false" outlineLevel="0" max="18" min="18" style="0" width="12"/>
    <col collapsed="false" customWidth="true" hidden="false" outlineLevel="0" max="21" min="19" style="0" width="9"/>
  </cols>
  <sheetData>
    <row r="1" customFormat="false" ht="31.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21</v>
      </c>
      <c r="R1" s="4" t="s">
        <v>55</v>
      </c>
      <c r="S1" s="4" t="s">
        <v>56</v>
      </c>
      <c r="T1" s="4" t="s">
        <v>57</v>
      </c>
      <c r="U1" s="4" t="s">
        <v>58</v>
      </c>
    </row>
    <row r="2" customFormat="false" ht="15" hidden="false" customHeight="false" outlineLevel="0" collapsed="false">
      <c r="A2" s="8" t="n">
        <v>44893</v>
      </c>
      <c r="B2" s="6" t="n">
        <v>2</v>
      </c>
      <c r="C2" s="6" t="n">
        <v>2</v>
      </c>
      <c r="D2" s="6"/>
      <c r="E2" s="6"/>
      <c r="F2" s="6"/>
      <c r="G2" s="6"/>
      <c r="H2" s="6"/>
      <c r="I2" s="6"/>
      <c r="J2" s="6"/>
      <c r="K2" s="6"/>
      <c r="L2" s="6"/>
      <c r="M2" s="5" t="str">
        <f aca="false">IF(AND(K2="",L2=""),"",SUM(K2:L2))</f>
        <v/>
      </c>
      <c r="N2" s="6"/>
      <c r="O2" s="6"/>
      <c r="P2" s="10" t="str">
        <f aca="false">IF(OR(M2="",M2=0),"",IF(N2="",0,N2)/M2)</f>
        <v/>
      </c>
      <c r="Q2" s="7"/>
      <c r="R2" s="11" t="n">
        <f aca="false">A2+5</f>
        <v>44898</v>
      </c>
      <c r="S2" s="5" t="n">
        <f aca="false">IF(R2&gt;=DATE(YEAR(R2)+1,1,4)-WEEKDAY(DATE(YEAR(R2)+1,1,4))+1,YEAR(R2)+1,IF(R2&lt;DATE(YEAR(R2),1,4)-WEEKDAY(DATE(YEAR(R2),1,4))+1,YEAR(R2)-1,YEAR(R2)))</f>
        <v>2022</v>
      </c>
      <c r="T2" s="5" t="n">
        <f aca="false">INT((R2-(DATE(S2,1,4)-WEEKDAY(DATE(S2,1,4))+1))/7)+1</f>
        <v>48</v>
      </c>
      <c r="U2" s="5" t="str">
        <f aca="false">IF(T2&gt;=36,S2&amp;"-"&amp;RIGHT(S2+1,2),(S2-1)&amp;"-"&amp;RIGHT(S2,2))</f>
        <v>2022-23</v>
      </c>
    </row>
    <row r="3" customFormat="false" ht="15" hidden="false" customHeight="false" outlineLevel="0" collapsed="false">
      <c r="A3" s="8" t="n">
        <v>44900</v>
      </c>
      <c r="B3" s="6" t="n">
        <v>8</v>
      </c>
      <c r="C3" s="6" t="n">
        <v>2</v>
      </c>
      <c r="D3" s="6"/>
      <c r="E3" s="6"/>
      <c r="F3" s="6"/>
      <c r="G3" s="6"/>
      <c r="H3" s="6"/>
      <c r="I3" s="6"/>
      <c r="J3" s="6"/>
      <c r="K3" s="6"/>
      <c r="L3" s="6"/>
      <c r="M3" s="5" t="str">
        <f aca="false">IF(AND(K3="",L3=""),"",SUM(K3:L3))</f>
        <v/>
      </c>
      <c r="N3" s="6"/>
      <c r="O3" s="6"/>
      <c r="P3" s="10" t="str">
        <f aca="false">IF(OR(M3="",M3=0),"",IF(N3="",0,N3)/M3)</f>
        <v/>
      </c>
      <c r="Q3" s="7"/>
      <c r="R3" s="11" t="n">
        <f aca="false">A3+5</f>
        <v>44905</v>
      </c>
      <c r="S3" s="5" t="n">
        <f aca="false">IF(R3&gt;=DATE(YEAR(R3)+1,1,4)-WEEKDAY(DATE(YEAR(R3)+1,1,4))+1,YEAR(R3)+1,IF(R3&lt;DATE(YEAR(R3),1,4)-WEEKDAY(DATE(YEAR(R3),1,4))+1,YEAR(R3)-1,YEAR(R3)))</f>
        <v>2022</v>
      </c>
      <c r="T3" s="5" t="n">
        <f aca="false">INT((R3-(DATE(S3,1,4)-WEEKDAY(DATE(S3,1,4))+1))/7)+1</f>
        <v>49</v>
      </c>
      <c r="U3" s="5" t="str">
        <f aca="false">IF(T3&gt;=36,S3&amp;"-"&amp;RIGHT(S3+1,2),(S3-1)&amp;"-"&amp;RIGHT(S3,2))</f>
        <v>2022-23</v>
      </c>
    </row>
    <row r="4" customFormat="false" ht="15" hidden="false" customHeight="false" outlineLevel="0" collapsed="false">
      <c r="A4" s="8" t="n">
        <v>44907</v>
      </c>
      <c r="B4" s="6" t="n">
        <v>5</v>
      </c>
      <c r="C4" s="6" t="n">
        <v>3</v>
      </c>
      <c r="D4" s="6"/>
      <c r="E4" s="6"/>
      <c r="F4" s="6"/>
      <c r="G4" s="6"/>
      <c r="H4" s="6"/>
      <c r="I4" s="6"/>
      <c r="J4" s="6"/>
      <c r="K4" s="6"/>
      <c r="L4" s="6"/>
      <c r="M4" s="5" t="str">
        <f aca="false">IF(AND(K4="",L4=""),"",SUM(K4:L4))</f>
        <v/>
      </c>
      <c r="N4" s="6"/>
      <c r="O4" s="6"/>
      <c r="P4" s="10" t="str">
        <f aca="false">IF(OR(M4="",M4=0),"",IF(N4="",0,N4)/M4)</f>
        <v/>
      </c>
      <c r="Q4" s="7"/>
      <c r="R4" s="11" t="n">
        <f aca="false">A4+5</f>
        <v>44912</v>
      </c>
      <c r="S4" s="5" t="n">
        <f aca="false">IF(R4&gt;=DATE(YEAR(R4)+1,1,4)-WEEKDAY(DATE(YEAR(R4)+1,1,4))+1,YEAR(R4)+1,IF(R4&lt;DATE(YEAR(R4),1,4)-WEEKDAY(DATE(YEAR(R4),1,4))+1,YEAR(R4)-1,YEAR(R4)))</f>
        <v>2022</v>
      </c>
      <c r="T4" s="5" t="n">
        <f aca="false">INT((R4-(DATE(S4,1,4)-WEEKDAY(DATE(S4,1,4))+1))/7)+1</f>
        <v>50</v>
      </c>
      <c r="U4" s="5" t="str">
        <f aca="false">IF(T4&gt;=36,S4&amp;"-"&amp;RIGHT(S4+1,2),(S4-1)&amp;"-"&amp;RIGHT(S4,2))</f>
        <v>2022-23</v>
      </c>
    </row>
    <row r="5" customFormat="false" ht="15" hidden="false" customHeight="false" outlineLevel="0" collapsed="false">
      <c r="A5" s="8" t="n">
        <v>44914</v>
      </c>
      <c r="B5" s="6" t="n">
        <v>16</v>
      </c>
      <c r="C5" s="6" t="n">
        <v>1</v>
      </c>
      <c r="D5" s="6" t="n">
        <v>1</v>
      </c>
      <c r="E5" s="6"/>
      <c r="F5" s="6"/>
      <c r="G5" s="6"/>
      <c r="H5" s="6"/>
      <c r="I5" s="6"/>
      <c r="J5" s="6"/>
      <c r="K5" s="6"/>
      <c r="L5" s="6"/>
      <c r="M5" s="5" t="str">
        <f aca="false">IF(AND(K5="",L5=""),"",SUM(K5:L5))</f>
        <v/>
      </c>
      <c r="N5" s="6"/>
      <c r="O5" s="6"/>
      <c r="P5" s="10" t="str">
        <f aca="false">IF(OR(M5="",M5=0),"",IF(N5="",0,N5)/M5)</f>
        <v/>
      </c>
      <c r="Q5" s="7"/>
      <c r="R5" s="11" t="n">
        <f aca="false">A5+5</f>
        <v>44919</v>
      </c>
      <c r="S5" s="5" t="n">
        <f aca="false">IF(R5&gt;=DATE(YEAR(R5)+1,1,4)-WEEKDAY(DATE(YEAR(R5)+1,1,4))+1,YEAR(R5)+1,IF(R5&lt;DATE(YEAR(R5),1,4)-WEEKDAY(DATE(YEAR(R5),1,4))+1,YEAR(R5)-1,YEAR(R5)))</f>
        <v>2022</v>
      </c>
      <c r="T5" s="5" t="n">
        <f aca="false">INT((R5-(DATE(S5,1,4)-WEEKDAY(DATE(S5,1,4))+1))/7)+1</f>
        <v>51</v>
      </c>
      <c r="U5" s="5" t="str">
        <f aca="false">IF(T5&gt;=36,S5&amp;"-"&amp;RIGHT(S5+1,2),(S5-1)&amp;"-"&amp;RIGHT(S5,2))</f>
        <v>2022-23</v>
      </c>
    </row>
    <row r="6" customFormat="false" ht="15" hidden="false" customHeight="false" outlineLevel="0" collapsed="false">
      <c r="A6" s="8" t="n">
        <v>44921</v>
      </c>
      <c r="B6" s="6" t="n">
        <v>18</v>
      </c>
      <c r="C6" s="6" t="n">
        <v>1</v>
      </c>
      <c r="D6" s="6" t="n">
        <v>0</v>
      </c>
      <c r="E6" s="6"/>
      <c r="F6" s="6"/>
      <c r="G6" s="6"/>
      <c r="H6" s="6"/>
      <c r="I6" s="6"/>
      <c r="J6" s="6"/>
      <c r="K6" s="6"/>
      <c r="L6" s="6"/>
      <c r="M6" s="5" t="str">
        <f aca="false">IF(AND(K6="",L6=""),"",SUM(K6:L6))</f>
        <v/>
      </c>
      <c r="N6" s="6"/>
      <c r="O6" s="6"/>
      <c r="P6" s="10" t="str">
        <f aca="false">IF(OR(M6="",M6=0),"",IF(N6="",0,N6)/M6)</f>
        <v/>
      </c>
      <c r="Q6" s="7"/>
      <c r="R6" s="11" t="n">
        <f aca="false">A6+5</f>
        <v>44926</v>
      </c>
      <c r="S6" s="5" t="n">
        <f aca="false">IF(R6&gt;=DATE(YEAR(R6)+1,1,4)-WEEKDAY(DATE(YEAR(R6)+1,1,4))+1,YEAR(R6)+1,IF(R6&lt;DATE(YEAR(R6),1,4)-WEEKDAY(DATE(YEAR(R6),1,4))+1,YEAR(R6)-1,YEAR(R6)))</f>
        <v>2022</v>
      </c>
      <c r="T6" s="5" t="n">
        <f aca="false">INT((R6-(DATE(S6,1,4)-WEEKDAY(DATE(S6,1,4))+1))/7)+1</f>
        <v>52</v>
      </c>
      <c r="U6" s="5" t="str">
        <f aca="false">IF(T6&gt;=36,S6&amp;"-"&amp;RIGHT(S6+1,2),(S6-1)&amp;"-"&amp;RIGHT(S6,2))</f>
        <v>2022-23</v>
      </c>
    </row>
    <row r="7" customFormat="false" ht="15" hidden="false" customHeight="false" outlineLevel="0" collapsed="false">
      <c r="A7" s="8" t="n">
        <v>44928</v>
      </c>
      <c r="B7" s="6" t="n">
        <v>13</v>
      </c>
      <c r="C7" s="6" t="n">
        <v>1</v>
      </c>
      <c r="D7" s="6" t="n">
        <v>1</v>
      </c>
      <c r="E7" s="6"/>
      <c r="F7" s="6"/>
      <c r="G7" s="6"/>
      <c r="H7" s="6"/>
      <c r="I7" s="6"/>
      <c r="J7" s="6"/>
      <c r="K7" s="6"/>
      <c r="L7" s="6"/>
      <c r="M7" s="5" t="str">
        <f aca="false">IF(AND(K7="",L7=""),"",SUM(K7:L7))</f>
        <v/>
      </c>
      <c r="N7" s="6"/>
      <c r="O7" s="6"/>
      <c r="P7" s="10" t="str">
        <f aca="false">IF(OR(M7="",M7=0),"",IF(N7="",0,N7)/M7)</f>
        <v/>
      </c>
      <c r="Q7" s="7"/>
      <c r="R7" s="11" t="n">
        <f aca="false">A7+5</f>
        <v>44933</v>
      </c>
      <c r="S7" s="5" t="n">
        <f aca="false">IF(R7&gt;=DATE(YEAR(R7)+1,1,4)-WEEKDAY(DATE(YEAR(R7)+1,1,4))+1,YEAR(R7)+1,IF(R7&lt;DATE(YEAR(R7),1,4)-WEEKDAY(DATE(YEAR(R7),1,4))+1,YEAR(R7)-1,YEAR(R7)))</f>
        <v>2023</v>
      </c>
      <c r="T7" s="5" t="n">
        <f aca="false">INT((R7-(DATE(S7,1,4)-WEEKDAY(DATE(S7,1,4))+1))/7)+1</f>
        <v>1</v>
      </c>
      <c r="U7" s="5" t="str">
        <f aca="false">IF(T7&gt;=36,S7&amp;"-"&amp;RIGHT(S7+1,2),(S7-1)&amp;"-"&amp;RIGHT(S7,2))</f>
        <v>2022-23</v>
      </c>
    </row>
    <row r="8" customFormat="false" ht="15" hidden="false" customHeight="false" outlineLevel="0" collapsed="false">
      <c r="A8" s="8" t="n">
        <v>44935</v>
      </c>
      <c r="B8" s="6" t="n">
        <v>9</v>
      </c>
      <c r="C8" s="6" t="n">
        <v>0</v>
      </c>
      <c r="D8" s="6" t="n">
        <v>0</v>
      </c>
      <c r="E8" s="6"/>
      <c r="F8" s="6"/>
      <c r="G8" s="6"/>
      <c r="H8" s="6"/>
      <c r="I8" s="6"/>
      <c r="J8" s="6"/>
      <c r="K8" s="6"/>
      <c r="L8" s="6"/>
      <c r="M8" s="5" t="str">
        <f aca="false">IF(AND(K8="",L8=""),"",SUM(K8:L8))</f>
        <v/>
      </c>
      <c r="N8" s="6"/>
      <c r="O8" s="6"/>
      <c r="P8" s="10" t="str">
        <f aca="false">IF(OR(M8="",M8=0),"",IF(N8="",0,N8)/M8)</f>
        <v/>
      </c>
      <c r="Q8" s="7"/>
      <c r="R8" s="11" t="n">
        <f aca="false">A8+5</f>
        <v>44940</v>
      </c>
      <c r="S8" s="5" t="n">
        <f aca="false">IF(R8&gt;=DATE(YEAR(R8)+1,1,4)-WEEKDAY(DATE(YEAR(R8)+1,1,4))+1,YEAR(R8)+1,IF(R8&lt;DATE(YEAR(R8),1,4)-WEEKDAY(DATE(YEAR(R8),1,4))+1,YEAR(R8)-1,YEAR(R8)))</f>
        <v>2023</v>
      </c>
      <c r="T8" s="5" t="n">
        <f aca="false">INT((R8-(DATE(S8,1,4)-WEEKDAY(DATE(S8,1,4))+1))/7)+1</f>
        <v>2</v>
      </c>
      <c r="U8" s="5" t="str">
        <f aca="false">IF(T8&gt;=36,S8&amp;"-"&amp;RIGHT(S8+1,2),(S8-1)&amp;"-"&amp;RIGHT(S8,2))</f>
        <v>2022-23</v>
      </c>
    </row>
    <row r="9" customFormat="false" ht="15" hidden="false" customHeight="false" outlineLevel="0" collapsed="false">
      <c r="A9" s="8" t="n">
        <v>44942</v>
      </c>
      <c r="B9" s="6" t="n">
        <v>6</v>
      </c>
      <c r="C9" s="6" t="n">
        <v>0</v>
      </c>
      <c r="D9" s="6" t="n">
        <v>0</v>
      </c>
      <c r="E9" s="6"/>
      <c r="F9" s="6"/>
      <c r="G9" s="6"/>
      <c r="H9" s="6"/>
      <c r="I9" s="6"/>
      <c r="J9" s="6"/>
      <c r="K9" s="6"/>
      <c r="L9" s="6"/>
      <c r="M9" s="5" t="str">
        <f aca="false">IF(AND(K9="",L9=""),"",SUM(K9:L9))</f>
        <v/>
      </c>
      <c r="N9" s="6"/>
      <c r="O9" s="6"/>
      <c r="P9" s="10" t="str">
        <f aca="false">IF(OR(M9="",M9=0),"",IF(N9="",0,N9)/M9)</f>
        <v/>
      </c>
      <c r="Q9" s="7"/>
      <c r="R9" s="11" t="n">
        <f aca="false">A9+5</f>
        <v>44947</v>
      </c>
      <c r="S9" s="5" t="n">
        <f aca="false">IF(R9&gt;=DATE(YEAR(R9)+1,1,4)-WEEKDAY(DATE(YEAR(R9)+1,1,4))+1,YEAR(R9)+1,IF(R9&lt;DATE(YEAR(R9),1,4)-WEEKDAY(DATE(YEAR(R9),1,4))+1,YEAR(R9)-1,YEAR(R9)))</f>
        <v>2023</v>
      </c>
      <c r="T9" s="5" t="n">
        <f aca="false">INT((R9-(DATE(S9,1,4)-WEEKDAY(DATE(S9,1,4))+1))/7)+1</f>
        <v>3</v>
      </c>
      <c r="U9" s="5" t="str">
        <f aca="false">IF(T9&gt;=36,S9&amp;"-"&amp;RIGHT(S9+1,2),(S9-1)&amp;"-"&amp;RIGHT(S9,2))</f>
        <v>2022-23</v>
      </c>
    </row>
    <row r="10" customFormat="false" ht="15" hidden="false" customHeight="false" outlineLevel="0" collapsed="false">
      <c r="A10" s="8" t="n">
        <v>44949</v>
      </c>
      <c r="B10" s="6" t="n">
        <v>5</v>
      </c>
      <c r="C10" s="6" t="n">
        <v>0</v>
      </c>
      <c r="D10" s="6" t="n">
        <v>0</v>
      </c>
      <c r="E10" s="6"/>
      <c r="F10" s="6"/>
      <c r="G10" s="6"/>
      <c r="H10" s="6"/>
      <c r="I10" s="6"/>
      <c r="J10" s="6"/>
      <c r="K10" s="6"/>
      <c r="L10" s="6"/>
      <c r="M10" s="5" t="str">
        <f aca="false">IF(AND(K10="",L10=""),"",SUM(K10:L10))</f>
        <v/>
      </c>
      <c r="N10" s="6"/>
      <c r="O10" s="6"/>
      <c r="P10" s="10" t="str">
        <f aca="false">IF(OR(M10="",M10=0),"",IF(N10="",0,N10)/M10)</f>
        <v/>
      </c>
      <c r="Q10" s="7"/>
      <c r="R10" s="11" t="n">
        <f aca="false">A10+5</f>
        <v>44954</v>
      </c>
      <c r="S10" s="5" t="n">
        <f aca="false">IF(R10&gt;=DATE(YEAR(R10)+1,1,4)-WEEKDAY(DATE(YEAR(R10)+1,1,4))+1,YEAR(R10)+1,IF(R10&lt;DATE(YEAR(R10),1,4)-WEEKDAY(DATE(YEAR(R10),1,4))+1,YEAR(R10)-1,YEAR(R10)))</f>
        <v>2023</v>
      </c>
      <c r="T10" s="5" t="n">
        <f aca="false">INT((R10-(DATE(S10,1,4)-WEEKDAY(DATE(S10,1,4))+1))/7)+1</f>
        <v>4</v>
      </c>
      <c r="U10" s="5" t="str">
        <f aca="false">IF(T10&gt;=36,S10&amp;"-"&amp;RIGHT(S10+1,2),(S10-1)&amp;"-"&amp;RIGHT(S10,2))</f>
        <v>2022-23</v>
      </c>
    </row>
    <row r="11" customFormat="false" ht="15" hidden="false" customHeight="false" outlineLevel="0" collapsed="false">
      <c r="A11" s="8" t="n">
        <v>44956</v>
      </c>
      <c r="B11" s="6" t="n">
        <v>5</v>
      </c>
      <c r="C11" s="6" t="n">
        <v>0</v>
      </c>
      <c r="D11" s="6" t="n">
        <v>0</v>
      </c>
      <c r="E11" s="6"/>
      <c r="F11" s="6"/>
      <c r="G11" s="6"/>
      <c r="H11" s="6"/>
      <c r="I11" s="6"/>
      <c r="J11" s="6"/>
      <c r="K11" s="6"/>
      <c r="L11" s="6"/>
      <c r="M11" s="5" t="str">
        <f aca="false">IF(AND(K11="",L11=""),"",SUM(K11:L11))</f>
        <v/>
      </c>
      <c r="N11" s="6"/>
      <c r="O11" s="6"/>
      <c r="P11" s="10" t="str">
        <f aca="false">IF(OR(M11="",M11=0),"",IF(N11="",0,N11)/M11)</f>
        <v/>
      </c>
      <c r="Q11" s="7"/>
      <c r="R11" s="11" t="n">
        <f aca="false">A11+5</f>
        <v>44961</v>
      </c>
      <c r="S11" s="5" t="n">
        <f aca="false">IF(R11&gt;=DATE(YEAR(R11)+1,1,4)-WEEKDAY(DATE(YEAR(R11)+1,1,4))+1,YEAR(R11)+1,IF(R11&lt;DATE(YEAR(R11),1,4)-WEEKDAY(DATE(YEAR(R11),1,4))+1,YEAR(R11)-1,YEAR(R11)))</f>
        <v>2023</v>
      </c>
      <c r="T11" s="5" t="n">
        <f aca="false">INT((R11-(DATE(S11,1,4)-WEEKDAY(DATE(S11,1,4))+1))/7)+1</f>
        <v>5</v>
      </c>
      <c r="U11" s="5" t="str">
        <f aca="false">IF(T11&gt;=36,S11&amp;"-"&amp;RIGHT(S11+1,2),(S11-1)&amp;"-"&amp;RIGHT(S11,2))</f>
        <v>2022-23</v>
      </c>
    </row>
    <row r="12" customFormat="false" ht="15" hidden="false" customHeight="false" outlineLevel="0" collapsed="false">
      <c r="A12" s="8" t="n">
        <v>44963</v>
      </c>
      <c r="B12" s="6" t="n">
        <v>3</v>
      </c>
      <c r="C12" s="6" t="n">
        <v>2</v>
      </c>
      <c r="D12" s="6" t="n">
        <v>0</v>
      </c>
      <c r="E12" s="6"/>
      <c r="F12" s="6"/>
      <c r="G12" s="6"/>
      <c r="H12" s="6"/>
      <c r="I12" s="6"/>
      <c r="J12" s="6"/>
      <c r="K12" s="6"/>
      <c r="L12" s="6"/>
      <c r="M12" s="5" t="str">
        <f aca="false">IF(AND(K12="",L12=""),"",SUM(K12:L12))</f>
        <v/>
      </c>
      <c r="N12" s="6"/>
      <c r="O12" s="6"/>
      <c r="P12" s="10" t="str">
        <f aca="false">IF(OR(M12="",M12=0),"",IF(N12="",0,N12)/M12)</f>
        <v/>
      </c>
      <c r="Q12" s="7"/>
      <c r="R12" s="11" t="n">
        <f aca="false">A12+5</f>
        <v>44968</v>
      </c>
      <c r="S12" s="5" t="n">
        <f aca="false">IF(R12&gt;=DATE(YEAR(R12)+1,1,4)-WEEKDAY(DATE(YEAR(R12)+1,1,4))+1,YEAR(R12)+1,IF(R12&lt;DATE(YEAR(R12),1,4)-WEEKDAY(DATE(YEAR(R12),1,4))+1,YEAR(R12)-1,YEAR(R12)))</f>
        <v>2023</v>
      </c>
      <c r="T12" s="5" t="n">
        <f aca="false">INT((R12-(DATE(S12,1,4)-WEEKDAY(DATE(S12,1,4))+1))/7)+1</f>
        <v>6</v>
      </c>
      <c r="U12" s="5" t="str">
        <f aca="false">IF(T12&gt;=36,S12&amp;"-"&amp;RIGHT(S12+1,2),(S12-1)&amp;"-"&amp;RIGHT(S12,2))</f>
        <v>2022-23</v>
      </c>
    </row>
    <row r="13" customFormat="false" ht="15" hidden="false" customHeight="false" outlineLevel="0" collapsed="false">
      <c r="A13" s="8" t="n">
        <v>44970</v>
      </c>
      <c r="B13" s="6" t="n">
        <v>2</v>
      </c>
      <c r="C13" s="6" t="n">
        <v>0</v>
      </c>
      <c r="D13" s="6" t="n">
        <v>0</v>
      </c>
      <c r="E13" s="6"/>
      <c r="F13" s="6"/>
      <c r="G13" s="6"/>
      <c r="H13" s="6"/>
      <c r="I13" s="6"/>
      <c r="J13" s="6"/>
      <c r="K13" s="6"/>
      <c r="L13" s="6"/>
      <c r="M13" s="5" t="str">
        <f aca="false">IF(AND(K13="",L13=""),"",SUM(K13:L13))</f>
        <v/>
      </c>
      <c r="N13" s="6"/>
      <c r="O13" s="6"/>
      <c r="P13" s="10" t="str">
        <f aca="false">IF(OR(M13="",M13=0),"",IF(N13="",0,N13)/M13)</f>
        <v/>
      </c>
      <c r="Q13" s="7"/>
      <c r="R13" s="11" t="n">
        <f aca="false">A13+5</f>
        <v>44975</v>
      </c>
      <c r="S13" s="5" t="n">
        <f aca="false">IF(R13&gt;=DATE(YEAR(R13)+1,1,4)-WEEKDAY(DATE(YEAR(R13)+1,1,4))+1,YEAR(R13)+1,IF(R13&lt;DATE(YEAR(R13),1,4)-WEEKDAY(DATE(YEAR(R13),1,4))+1,YEAR(R13)-1,YEAR(R13)))</f>
        <v>2023</v>
      </c>
      <c r="T13" s="5" t="n">
        <f aca="false">INT((R13-(DATE(S13,1,4)-WEEKDAY(DATE(S13,1,4))+1))/7)+1</f>
        <v>7</v>
      </c>
      <c r="U13" s="5" t="str">
        <f aca="false">IF(T13&gt;=36,S13&amp;"-"&amp;RIGHT(S13+1,2),(S13-1)&amp;"-"&amp;RIGHT(S13,2))</f>
        <v>2022-23</v>
      </c>
    </row>
    <row r="14" customFormat="false" ht="15" hidden="false" customHeight="false" outlineLevel="0" collapsed="false">
      <c r="A14" s="8" t="n">
        <v>44977</v>
      </c>
      <c r="B14" s="6" t="n">
        <v>5</v>
      </c>
      <c r="C14" s="6" t="n">
        <v>0</v>
      </c>
      <c r="D14" s="6" t="n">
        <v>0</v>
      </c>
      <c r="E14" s="6"/>
      <c r="F14" s="6"/>
      <c r="G14" s="6"/>
      <c r="H14" s="6"/>
      <c r="I14" s="6"/>
      <c r="J14" s="6"/>
      <c r="K14" s="6"/>
      <c r="L14" s="6"/>
      <c r="M14" s="5" t="str">
        <f aca="false">IF(AND(K14="",L14=""),"",SUM(K14:L14))</f>
        <v/>
      </c>
      <c r="N14" s="6"/>
      <c r="O14" s="6"/>
      <c r="P14" s="10" t="str">
        <f aca="false">IF(OR(M14="",M14=0),"",IF(N14="",0,N14)/M14)</f>
        <v/>
      </c>
      <c r="Q14" s="7"/>
      <c r="R14" s="11" t="n">
        <f aca="false">A14+5</f>
        <v>44982</v>
      </c>
      <c r="S14" s="5" t="n">
        <f aca="false">IF(R14&gt;=DATE(YEAR(R14)+1,1,4)-WEEKDAY(DATE(YEAR(R14)+1,1,4))+1,YEAR(R14)+1,IF(R14&lt;DATE(YEAR(R14),1,4)-WEEKDAY(DATE(YEAR(R14),1,4))+1,YEAR(R14)-1,YEAR(R14)))</f>
        <v>2023</v>
      </c>
      <c r="T14" s="5" t="n">
        <f aca="false">INT((R14-(DATE(S14,1,4)-WEEKDAY(DATE(S14,1,4))+1))/7)+1</f>
        <v>8</v>
      </c>
      <c r="U14" s="5" t="str">
        <f aca="false">IF(T14&gt;=36,S14&amp;"-"&amp;RIGHT(S14+1,2),(S14-1)&amp;"-"&amp;RIGHT(S14,2))</f>
        <v>2022-23</v>
      </c>
    </row>
    <row r="15" customFormat="false" ht="15" hidden="false" customHeight="false" outlineLevel="0" collapsed="false">
      <c r="A15" s="8" t="n">
        <v>44984</v>
      </c>
      <c r="B15" s="6" t="n">
        <v>4</v>
      </c>
      <c r="C15" s="6" t="n">
        <v>0</v>
      </c>
      <c r="D15" s="6" t="n">
        <v>0</v>
      </c>
      <c r="E15" s="6"/>
      <c r="F15" s="6"/>
      <c r="G15" s="6"/>
      <c r="H15" s="6"/>
      <c r="I15" s="6"/>
      <c r="J15" s="6"/>
      <c r="K15" s="6"/>
      <c r="L15" s="6"/>
      <c r="M15" s="5" t="str">
        <f aca="false">IF(AND(K15="",L15=""),"",SUM(K15:L15))</f>
        <v/>
      </c>
      <c r="N15" s="6"/>
      <c r="O15" s="6"/>
      <c r="P15" s="10" t="str">
        <f aca="false">IF(OR(M15="",M15=0),"",IF(N15="",0,N15)/M15)</f>
        <v/>
      </c>
      <c r="Q15" s="7"/>
      <c r="R15" s="11" t="n">
        <f aca="false">A15+5</f>
        <v>44989</v>
      </c>
      <c r="S15" s="5" t="n">
        <f aca="false">IF(R15&gt;=DATE(YEAR(R15)+1,1,4)-WEEKDAY(DATE(YEAR(R15)+1,1,4))+1,YEAR(R15)+1,IF(R15&lt;DATE(YEAR(R15),1,4)-WEEKDAY(DATE(YEAR(R15),1,4))+1,YEAR(R15)-1,YEAR(R15)))</f>
        <v>2023</v>
      </c>
      <c r="T15" s="5" t="n">
        <f aca="false">INT((R15-(DATE(S15,1,4)-WEEKDAY(DATE(S15,1,4))+1))/7)+1</f>
        <v>9</v>
      </c>
      <c r="U15" s="5" t="str">
        <f aca="false">IF(T15&gt;=36,S15&amp;"-"&amp;RIGHT(S15+1,2),(S15-1)&amp;"-"&amp;RIGHT(S15,2))</f>
        <v>2022-23</v>
      </c>
    </row>
    <row r="16" customFormat="false" ht="15" hidden="false" customHeight="false" outlineLevel="0" collapsed="false">
      <c r="A16" s="8" t="n">
        <v>44991</v>
      </c>
      <c r="B16" s="6" t="n">
        <v>3</v>
      </c>
      <c r="C16" s="6" t="n">
        <v>0</v>
      </c>
      <c r="D16" s="6" t="n">
        <v>0</v>
      </c>
      <c r="E16" s="6"/>
      <c r="F16" s="6"/>
      <c r="G16" s="6"/>
      <c r="H16" s="6"/>
      <c r="I16" s="6"/>
      <c r="J16" s="6"/>
      <c r="K16" s="6"/>
      <c r="L16" s="6"/>
      <c r="M16" s="5" t="str">
        <f aca="false">IF(AND(K16="",L16=""),"",SUM(K16:L16))</f>
        <v/>
      </c>
      <c r="N16" s="6"/>
      <c r="O16" s="6"/>
      <c r="P16" s="10" t="str">
        <f aca="false">IF(OR(M16="",M16=0),"",IF(N16="",0,N16)/M16)</f>
        <v/>
      </c>
      <c r="Q16" s="7"/>
      <c r="R16" s="11" t="n">
        <f aca="false">A16+5</f>
        <v>44996</v>
      </c>
      <c r="S16" s="5" t="n">
        <f aca="false">IF(R16&gt;=DATE(YEAR(R16)+1,1,4)-WEEKDAY(DATE(YEAR(R16)+1,1,4))+1,YEAR(R16)+1,IF(R16&lt;DATE(YEAR(R16),1,4)-WEEKDAY(DATE(YEAR(R16),1,4))+1,YEAR(R16)-1,YEAR(R16)))</f>
        <v>2023</v>
      </c>
      <c r="T16" s="5" t="n">
        <f aca="false">INT((R16-(DATE(S16,1,4)-WEEKDAY(DATE(S16,1,4))+1))/7)+1</f>
        <v>10</v>
      </c>
      <c r="U16" s="5" t="str">
        <f aca="false">IF(T16&gt;=36,S16&amp;"-"&amp;RIGHT(S16+1,2),(S16-1)&amp;"-"&amp;RIGHT(S16,2))</f>
        <v>2022-23</v>
      </c>
    </row>
    <row r="17" customFormat="false" ht="15" hidden="false" customHeight="false" outlineLevel="0" collapsed="false">
      <c r="A17" s="8" t="n">
        <v>44998</v>
      </c>
      <c r="B17" s="6" t="n">
        <v>5</v>
      </c>
      <c r="C17" s="6" t="n">
        <v>0</v>
      </c>
      <c r="D17" s="6" t="n">
        <v>0</v>
      </c>
      <c r="E17" s="6"/>
      <c r="F17" s="6"/>
      <c r="G17" s="6"/>
      <c r="H17" s="6"/>
      <c r="I17" s="6"/>
      <c r="J17" s="6"/>
      <c r="K17" s="6"/>
      <c r="L17" s="6"/>
      <c r="M17" s="5" t="str">
        <f aca="false">IF(AND(K17="",L17=""),"",SUM(K17:L17))</f>
        <v/>
      </c>
      <c r="N17" s="6"/>
      <c r="O17" s="6"/>
      <c r="P17" s="10" t="str">
        <f aca="false">IF(OR(M17="",M17=0),"",IF(N17="",0,N17)/M17)</f>
        <v/>
      </c>
      <c r="Q17" s="7"/>
      <c r="R17" s="11" t="n">
        <f aca="false">A17+5</f>
        <v>45003</v>
      </c>
      <c r="S17" s="5" t="n">
        <f aca="false">IF(R17&gt;=DATE(YEAR(R17)+1,1,4)-WEEKDAY(DATE(YEAR(R17)+1,1,4))+1,YEAR(R17)+1,IF(R17&lt;DATE(YEAR(R17),1,4)-WEEKDAY(DATE(YEAR(R17),1,4))+1,YEAR(R17)-1,YEAR(R17)))</f>
        <v>2023</v>
      </c>
      <c r="T17" s="5" t="n">
        <f aca="false">INT((R17-(DATE(S17,1,4)-WEEKDAY(DATE(S17,1,4))+1))/7)+1</f>
        <v>11</v>
      </c>
      <c r="U17" s="5" t="str">
        <f aca="false">IF(T17&gt;=36,S17&amp;"-"&amp;RIGHT(S17+1,2),(S17-1)&amp;"-"&amp;RIGHT(S17,2))</f>
        <v>2022-23</v>
      </c>
    </row>
    <row r="18" customFormat="false" ht="15" hidden="false" customHeight="false" outlineLevel="0" collapsed="false">
      <c r="A18" s="8" t="n">
        <v>45005</v>
      </c>
      <c r="B18" s="6" t="n">
        <v>1</v>
      </c>
      <c r="C18" s="6" t="n">
        <v>0</v>
      </c>
      <c r="D18" s="6" t="n">
        <v>0</v>
      </c>
      <c r="E18" s="6"/>
      <c r="F18" s="6"/>
      <c r="G18" s="6"/>
      <c r="H18" s="6"/>
      <c r="I18" s="6"/>
      <c r="J18" s="6"/>
      <c r="K18" s="6"/>
      <c r="L18" s="6"/>
      <c r="M18" s="5" t="str">
        <f aca="false">IF(AND(K18="",L18=""),"",SUM(K18:L18))</f>
        <v/>
      </c>
      <c r="N18" s="6"/>
      <c r="O18" s="6"/>
      <c r="P18" s="10" t="str">
        <f aca="false">IF(OR(M18="",M18=0),"",IF(N18="",0,N18)/M18)</f>
        <v/>
      </c>
      <c r="Q18" s="7"/>
      <c r="R18" s="11" t="n">
        <f aca="false">A18+5</f>
        <v>45010</v>
      </c>
      <c r="S18" s="5" t="n">
        <f aca="false">IF(R18&gt;=DATE(YEAR(R18)+1,1,4)-WEEKDAY(DATE(YEAR(R18)+1,1,4))+1,YEAR(R18)+1,IF(R18&lt;DATE(YEAR(R18),1,4)-WEEKDAY(DATE(YEAR(R18),1,4))+1,YEAR(R18)-1,YEAR(R18)))</f>
        <v>2023</v>
      </c>
      <c r="T18" s="5" t="n">
        <f aca="false">INT((R18-(DATE(S18,1,4)-WEEKDAY(DATE(S18,1,4))+1))/7)+1</f>
        <v>12</v>
      </c>
      <c r="U18" s="5" t="str">
        <f aca="false">IF(T18&gt;=36,S18&amp;"-"&amp;RIGHT(S18+1,2),(S18-1)&amp;"-"&amp;RIGHT(S18,2))</f>
        <v>2022-23</v>
      </c>
    </row>
    <row r="19" customFormat="false" ht="15" hidden="false" customHeight="false" outlineLevel="0" collapsed="false">
      <c r="A19" s="8" t="n">
        <v>45012</v>
      </c>
      <c r="B19" s="6" t="n">
        <v>4</v>
      </c>
      <c r="C19" s="6" t="n">
        <v>0</v>
      </c>
      <c r="D19" s="6" t="n">
        <v>0</v>
      </c>
      <c r="E19" s="6"/>
      <c r="F19" s="6"/>
      <c r="G19" s="6"/>
      <c r="H19" s="6"/>
      <c r="I19" s="6"/>
      <c r="J19" s="6"/>
      <c r="K19" s="6"/>
      <c r="L19" s="6"/>
      <c r="M19" s="5" t="str">
        <f aca="false">IF(AND(K19="",L19=""),"",SUM(K19:L19))</f>
        <v/>
      </c>
      <c r="N19" s="6"/>
      <c r="O19" s="6"/>
      <c r="P19" s="10" t="str">
        <f aca="false">IF(OR(M19="",M19=0),"",IF(N19="",0,N19)/M19)</f>
        <v/>
      </c>
      <c r="Q19" s="7"/>
      <c r="R19" s="11" t="n">
        <f aca="false">A19+5</f>
        <v>45017</v>
      </c>
      <c r="S19" s="5" t="n">
        <f aca="false">IF(R19&gt;=DATE(YEAR(R19)+1,1,4)-WEEKDAY(DATE(YEAR(R19)+1,1,4))+1,YEAR(R19)+1,IF(R19&lt;DATE(YEAR(R19),1,4)-WEEKDAY(DATE(YEAR(R19),1,4))+1,YEAR(R19)-1,YEAR(R19)))</f>
        <v>2023</v>
      </c>
      <c r="T19" s="5" t="n">
        <f aca="false">INT((R19-(DATE(S19,1,4)-WEEKDAY(DATE(S19,1,4))+1))/7)+1</f>
        <v>13</v>
      </c>
      <c r="U19" s="5" t="str">
        <f aca="false">IF(T19&gt;=36,S19&amp;"-"&amp;RIGHT(S19+1,2),(S19-1)&amp;"-"&amp;RIGHT(S19,2))</f>
        <v>2022-23</v>
      </c>
    </row>
    <row r="20" customFormat="false" ht="15" hidden="false" customHeight="false" outlineLevel="0" collapsed="false">
      <c r="A20" s="8" t="n">
        <v>45019</v>
      </c>
      <c r="B20" s="6" t="n">
        <v>3</v>
      </c>
      <c r="C20" s="6" t="n">
        <v>0</v>
      </c>
      <c r="D20" s="6" t="n">
        <v>0</v>
      </c>
      <c r="E20" s="6"/>
      <c r="F20" s="6"/>
      <c r="G20" s="6"/>
      <c r="H20" s="6"/>
      <c r="I20" s="6"/>
      <c r="J20" s="6"/>
      <c r="K20" s="6"/>
      <c r="L20" s="6"/>
      <c r="M20" s="5" t="str">
        <f aca="false">IF(AND(K20="",L20=""),"",SUM(K20:L20))</f>
        <v/>
      </c>
      <c r="N20" s="6"/>
      <c r="O20" s="6"/>
      <c r="P20" s="10" t="str">
        <f aca="false">IF(OR(M20="",M20=0),"",IF(N20="",0,N20)/M20)</f>
        <v/>
      </c>
      <c r="Q20" s="7"/>
      <c r="R20" s="11" t="n">
        <f aca="false">A20+5</f>
        <v>45024</v>
      </c>
      <c r="S20" s="5" t="n">
        <f aca="false">IF(R20&gt;=DATE(YEAR(R20)+1,1,4)-WEEKDAY(DATE(YEAR(R20)+1,1,4))+1,YEAR(R20)+1,IF(R20&lt;DATE(YEAR(R20),1,4)-WEEKDAY(DATE(YEAR(R20),1,4))+1,YEAR(R20)-1,YEAR(R20)))</f>
        <v>2023</v>
      </c>
      <c r="T20" s="5" t="n">
        <f aca="false">INT((R20-(DATE(S20,1,4)-WEEKDAY(DATE(S20,1,4))+1))/7)+1</f>
        <v>14</v>
      </c>
      <c r="U20" s="5" t="str">
        <f aca="false">IF(T20&gt;=36,S20&amp;"-"&amp;RIGHT(S20+1,2),(S20-1)&amp;"-"&amp;RIGHT(S20,2))</f>
        <v>2022-23</v>
      </c>
    </row>
    <row r="21" customFormat="false" ht="15" hidden="false" customHeight="false" outlineLevel="0" collapsed="false">
      <c r="A21" s="8" t="n">
        <v>45026</v>
      </c>
      <c r="B21" s="6" t="n">
        <v>1</v>
      </c>
      <c r="C21" s="6" t="n">
        <v>0</v>
      </c>
      <c r="D21" s="6" t="n">
        <v>0</v>
      </c>
      <c r="E21" s="6"/>
      <c r="F21" s="6"/>
      <c r="G21" s="6"/>
      <c r="H21" s="6"/>
      <c r="I21" s="6"/>
      <c r="J21" s="6"/>
      <c r="K21" s="6"/>
      <c r="L21" s="6"/>
      <c r="M21" s="5" t="str">
        <f aca="false">IF(AND(K21="",L21=""),"",SUM(K21:L21))</f>
        <v/>
      </c>
      <c r="N21" s="6"/>
      <c r="O21" s="6"/>
      <c r="P21" s="10" t="str">
        <f aca="false">IF(OR(M21="",M21=0),"",IF(N21="",0,N21)/M21)</f>
        <v/>
      </c>
      <c r="Q21" s="7"/>
      <c r="R21" s="11" t="n">
        <f aca="false">A21+5</f>
        <v>45031</v>
      </c>
      <c r="S21" s="5" t="n">
        <f aca="false">IF(R21&gt;=DATE(YEAR(R21)+1,1,4)-WEEKDAY(DATE(YEAR(R21)+1,1,4))+1,YEAR(R21)+1,IF(R21&lt;DATE(YEAR(R21),1,4)-WEEKDAY(DATE(YEAR(R21),1,4))+1,YEAR(R21)-1,YEAR(R21)))</f>
        <v>2023</v>
      </c>
      <c r="T21" s="5" t="n">
        <f aca="false">INT((R21-(DATE(S21,1,4)-WEEKDAY(DATE(S21,1,4))+1))/7)+1</f>
        <v>15</v>
      </c>
      <c r="U21" s="5" t="str">
        <f aca="false">IF(T21&gt;=36,S21&amp;"-"&amp;RIGHT(S21+1,2),(S21-1)&amp;"-"&amp;RIGHT(S21,2))</f>
        <v>2022-23</v>
      </c>
    </row>
    <row r="22" customFormat="false" ht="15" hidden="false" customHeight="false" outlineLevel="0" collapsed="false">
      <c r="A22" s="8" t="n">
        <v>45033</v>
      </c>
      <c r="B22" s="6" t="n">
        <v>1</v>
      </c>
      <c r="C22" s="6" t="n">
        <v>0</v>
      </c>
      <c r="D22" s="6" t="n">
        <v>0</v>
      </c>
      <c r="E22" s="6"/>
      <c r="F22" s="6"/>
      <c r="G22" s="6"/>
      <c r="H22" s="6"/>
      <c r="I22" s="6"/>
      <c r="J22" s="6"/>
      <c r="K22" s="6"/>
      <c r="L22" s="6"/>
      <c r="M22" s="5" t="str">
        <f aca="false">IF(AND(K22="",L22=""),"",SUM(K22:L22))</f>
        <v/>
      </c>
      <c r="N22" s="6"/>
      <c r="O22" s="6"/>
      <c r="P22" s="10" t="str">
        <f aca="false">IF(OR(M22="",M22=0),"",IF(N22="",0,N22)/M22)</f>
        <v/>
      </c>
      <c r="Q22" s="7"/>
      <c r="R22" s="11" t="n">
        <f aca="false">A22+5</f>
        <v>45038</v>
      </c>
      <c r="S22" s="5" t="n">
        <f aca="false">IF(R22&gt;=DATE(YEAR(R22)+1,1,4)-WEEKDAY(DATE(YEAR(R22)+1,1,4))+1,YEAR(R22)+1,IF(R22&lt;DATE(YEAR(R22),1,4)-WEEKDAY(DATE(YEAR(R22),1,4))+1,YEAR(R22)-1,YEAR(R22)))</f>
        <v>2023</v>
      </c>
      <c r="T22" s="5" t="n">
        <f aca="false">INT((R22-(DATE(S22,1,4)-WEEKDAY(DATE(S22,1,4))+1))/7)+1</f>
        <v>16</v>
      </c>
      <c r="U22" s="5" t="str">
        <f aca="false">IF(T22&gt;=36,S22&amp;"-"&amp;RIGHT(S22+1,2),(S22-1)&amp;"-"&amp;RIGHT(S22,2))</f>
        <v>2022-23</v>
      </c>
    </row>
    <row r="23" customFormat="false" ht="15" hidden="false" customHeight="false" outlineLevel="0" collapsed="false">
      <c r="A23" s="8" t="n">
        <v>45040</v>
      </c>
      <c r="B23" s="6" t="n">
        <v>2</v>
      </c>
      <c r="C23" s="6" t="n">
        <v>0</v>
      </c>
      <c r="D23" s="6" t="n">
        <v>0</v>
      </c>
      <c r="E23" s="6"/>
      <c r="F23" s="6"/>
      <c r="G23" s="6"/>
      <c r="H23" s="6"/>
      <c r="I23" s="6"/>
      <c r="J23" s="6"/>
      <c r="K23" s="6"/>
      <c r="L23" s="6"/>
      <c r="M23" s="5" t="str">
        <f aca="false">IF(AND(K23="",L23=""),"",SUM(K23:L23))</f>
        <v/>
      </c>
      <c r="N23" s="6"/>
      <c r="O23" s="6"/>
      <c r="P23" s="10" t="str">
        <f aca="false">IF(OR(M23="",M23=0),"",IF(N23="",0,N23)/M23)</f>
        <v/>
      </c>
      <c r="Q23" s="7"/>
      <c r="R23" s="11" t="n">
        <f aca="false">A23+5</f>
        <v>45045</v>
      </c>
      <c r="S23" s="5" t="n">
        <f aca="false">IF(R23&gt;=DATE(YEAR(R23)+1,1,4)-WEEKDAY(DATE(YEAR(R23)+1,1,4))+1,YEAR(R23)+1,IF(R23&lt;DATE(YEAR(R23),1,4)-WEEKDAY(DATE(YEAR(R23),1,4))+1,YEAR(R23)-1,YEAR(R23)))</f>
        <v>2023</v>
      </c>
      <c r="T23" s="5" t="n">
        <f aca="false">INT((R23-(DATE(S23,1,4)-WEEKDAY(DATE(S23,1,4))+1))/7)+1</f>
        <v>17</v>
      </c>
      <c r="U23" s="5" t="str">
        <f aca="false">IF(T23&gt;=36,S23&amp;"-"&amp;RIGHT(S23+1,2),(S23-1)&amp;"-"&amp;RIGHT(S23,2))</f>
        <v>2022-23</v>
      </c>
    </row>
    <row r="24" customFormat="false" ht="15" hidden="false" customHeight="false" outlineLevel="0" collapsed="false">
      <c r="A24" s="8" t="n">
        <v>45047</v>
      </c>
      <c r="B24" s="6" t="n">
        <v>1</v>
      </c>
      <c r="C24" s="6" t="n">
        <v>0</v>
      </c>
      <c r="D24" s="6" t="n">
        <v>0</v>
      </c>
      <c r="E24" s="6"/>
      <c r="F24" s="6"/>
      <c r="G24" s="6"/>
      <c r="H24" s="6"/>
      <c r="I24" s="6"/>
      <c r="J24" s="6"/>
      <c r="K24" s="6"/>
      <c r="L24" s="6"/>
      <c r="M24" s="5" t="str">
        <f aca="false">IF(AND(K24="",L24=""),"",SUM(K24:L24))</f>
        <v/>
      </c>
      <c r="N24" s="6"/>
      <c r="O24" s="6"/>
      <c r="P24" s="10" t="str">
        <f aca="false">IF(OR(M24="",M24=0),"",IF(N24="",0,N24)/M24)</f>
        <v/>
      </c>
      <c r="Q24" s="7"/>
      <c r="R24" s="11" t="n">
        <f aca="false">A24+5</f>
        <v>45052</v>
      </c>
      <c r="S24" s="5" t="n">
        <f aca="false">IF(R24&gt;=DATE(YEAR(R24)+1,1,4)-WEEKDAY(DATE(YEAR(R24)+1,1,4))+1,YEAR(R24)+1,IF(R24&lt;DATE(YEAR(R24),1,4)-WEEKDAY(DATE(YEAR(R24),1,4))+1,YEAR(R24)-1,YEAR(R24)))</f>
        <v>2023</v>
      </c>
      <c r="T24" s="5" t="n">
        <f aca="false">INT((R24-(DATE(S24,1,4)-WEEKDAY(DATE(S24,1,4))+1))/7)+1</f>
        <v>18</v>
      </c>
      <c r="U24" s="5" t="str">
        <f aca="false">IF(T24&gt;=36,S24&amp;"-"&amp;RIGHT(S24+1,2),(S24-1)&amp;"-"&amp;RIGHT(S24,2))</f>
        <v>2022-23</v>
      </c>
    </row>
    <row r="25" customFormat="false" ht="15" hidden="false" customHeight="false" outlineLevel="0" collapsed="false">
      <c r="A25" s="8" t="n">
        <v>45054</v>
      </c>
      <c r="B25" s="6" t="n">
        <v>2</v>
      </c>
      <c r="C25" s="6" t="n">
        <v>0</v>
      </c>
      <c r="D25" s="6" t="n">
        <v>0</v>
      </c>
      <c r="E25" s="6"/>
      <c r="F25" s="6"/>
      <c r="G25" s="6"/>
      <c r="H25" s="6"/>
      <c r="I25" s="6"/>
      <c r="J25" s="6"/>
      <c r="K25" s="6"/>
      <c r="L25" s="6"/>
      <c r="M25" s="5" t="str">
        <f aca="false">IF(AND(K25="",L25=""),"",SUM(K25:L25))</f>
        <v/>
      </c>
      <c r="N25" s="6"/>
      <c r="O25" s="6"/>
      <c r="P25" s="10" t="str">
        <f aca="false">IF(OR(M25="",M25=0),"",IF(N25="",0,N25)/M25)</f>
        <v/>
      </c>
      <c r="Q25" s="7"/>
      <c r="R25" s="11" t="n">
        <f aca="false">A25+5</f>
        <v>45059</v>
      </c>
      <c r="S25" s="5" t="n">
        <f aca="false">IF(R25&gt;=DATE(YEAR(R25)+1,1,4)-WEEKDAY(DATE(YEAR(R25)+1,1,4))+1,YEAR(R25)+1,IF(R25&lt;DATE(YEAR(R25),1,4)-WEEKDAY(DATE(YEAR(R25),1,4))+1,YEAR(R25)-1,YEAR(R25)))</f>
        <v>2023</v>
      </c>
      <c r="T25" s="5" t="n">
        <f aca="false">INT((R25-(DATE(S25,1,4)-WEEKDAY(DATE(S25,1,4))+1))/7)+1</f>
        <v>19</v>
      </c>
      <c r="U25" s="5" t="str">
        <f aca="false">IF(T25&gt;=36,S25&amp;"-"&amp;RIGHT(S25+1,2),(S25-1)&amp;"-"&amp;RIGHT(S25,2))</f>
        <v>2022-23</v>
      </c>
    </row>
    <row r="26" customFormat="false" ht="15" hidden="false" customHeight="false" outlineLevel="0" collapsed="false">
      <c r="A26" s="8" t="n">
        <v>45061</v>
      </c>
      <c r="B26" s="6" t="n">
        <v>1</v>
      </c>
      <c r="C26" s="6" t="n">
        <v>0</v>
      </c>
      <c r="D26" s="6" t="n">
        <v>0</v>
      </c>
      <c r="E26" s="6"/>
      <c r="F26" s="6"/>
      <c r="G26" s="6"/>
      <c r="H26" s="6"/>
      <c r="I26" s="6"/>
      <c r="J26" s="6"/>
      <c r="K26" s="6"/>
      <c r="L26" s="6"/>
      <c r="M26" s="5" t="str">
        <f aca="false">IF(AND(K26="",L26=""),"",SUM(K26:L26))</f>
        <v/>
      </c>
      <c r="N26" s="6"/>
      <c r="O26" s="6"/>
      <c r="P26" s="10" t="str">
        <f aca="false">IF(OR(M26="",M26=0),"",IF(N26="",0,N26)/M26)</f>
        <v/>
      </c>
      <c r="Q26" s="7"/>
      <c r="R26" s="11" t="n">
        <f aca="false">A26+5</f>
        <v>45066</v>
      </c>
      <c r="S26" s="5" t="n">
        <f aca="false">IF(R26&gt;=DATE(YEAR(R26)+1,1,4)-WEEKDAY(DATE(YEAR(R26)+1,1,4))+1,YEAR(R26)+1,IF(R26&lt;DATE(YEAR(R26),1,4)-WEEKDAY(DATE(YEAR(R26),1,4))+1,YEAR(R26)-1,YEAR(R26)))</f>
        <v>2023</v>
      </c>
      <c r="T26" s="5" t="n">
        <f aca="false">INT((R26-(DATE(S26,1,4)-WEEKDAY(DATE(S26,1,4))+1))/7)+1</f>
        <v>20</v>
      </c>
      <c r="U26" s="5" t="str">
        <f aca="false">IF(T26&gt;=36,S26&amp;"-"&amp;RIGHT(S26+1,2),(S26-1)&amp;"-"&amp;RIGHT(S26,2))</f>
        <v>2022-23</v>
      </c>
    </row>
    <row r="27" customFormat="false" ht="15" hidden="false" customHeight="false" outlineLevel="0" collapsed="false">
      <c r="A27" s="8" t="n">
        <v>45068</v>
      </c>
      <c r="B27" s="6" t="n">
        <v>1</v>
      </c>
      <c r="C27" s="6" t="n">
        <v>0</v>
      </c>
      <c r="D27" s="6" t="n">
        <v>0</v>
      </c>
      <c r="E27" s="6"/>
      <c r="F27" s="6"/>
      <c r="G27" s="6"/>
      <c r="H27" s="6"/>
      <c r="I27" s="6"/>
      <c r="J27" s="6"/>
      <c r="K27" s="6"/>
      <c r="L27" s="6"/>
      <c r="M27" s="5" t="str">
        <f aca="false">IF(AND(K27="",L27=""),"",SUM(K27:L27))</f>
        <v/>
      </c>
      <c r="N27" s="6"/>
      <c r="O27" s="6"/>
      <c r="P27" s="10" t="str">
        <f aca="false">IF(OR(M27="",M27=0),"",IF(N27="",0,N27)/M27)</f>
        <v/>
      </c>
      <c r="Q27" s="7"/>
      <c r="R27" s="11" t="n">
        <f aca="false">A27+5</f>
        <v>45073</v>
      </c>
      <c r="S27" s="5" t="n">
        <f aca="false">IF(R27&gt;=DATE(YEAR(R27)+1,1,4)-WEEKDAY(DATE(YEAR(R27)+1,1,4))+1,YEAR(R27)+1,IF(R27&lt;DATE(YEAR(R27),1,4)-WEEKDAY(DATE(YEAR(R27),1,4))+1,YEAR(R27)-1,YEAR(R27)))</f>
        <v>2023</v>
      </c>
      <c r="T27" s="5" t="n">
        <f aca="false">INT((R27-(DATE(S27,1,4)-WEEKDAY(DATE(S27,1,4))+1))/7)+1</f>
        <v>21</v>
      </c>
      <c r="U27" s="5" t="str">
        <f aca="false">IF(T27&gt;=36,S27&amp;"-"&amp;RIGHT(S27+1,2),(S27-1)&amp;"-"&amp;RIGHT(S27,2))</f>
        <v>2022-23</v>
      </c>
    </row>
    <row r="28" customFormat="false" ht="15" hidden="false" customHeight="false" outlineLevel="0" collapsed="false">
      <c r="A28" s="8" t="n">
        <v>45075</v>
      </c>
      <c r="B28" s="6" t="n">
        <v>0</v>
      </c>
      <c r="C28" s="6" t="n">
        <v>0</v>
      </c>
      <c r="D28" s="6" t="n">
        <v>0</v>
      </c>
      <c r="E28" s="6"/>
      <c r="F28" s="6"/>
      <c r="G28" s="6"/>
      <c r="H28" s="6"/>
      <c r="I28" s="6"/>
      <c r="J28" s="6"/>
      <c r="K28" s="6"/>
      <c r="L28" s="6"/>
      <c r="M28" s="5" t="str">
        <f aca="false">IF(AND(K28="",L28=""),"",SUM(K28:L28))</f>
        <v/>
      </c>
      <c r="N28" s="6"/>
      <c r="O28" s="6"/>
      <c r="P28" s="10" t="str">
        <f aca="false">IF(OR(M28="",M28=0),"",IF(N28="",0,N28)/M28)</f>
        <v/>
      </c>
      <c r="Q28" s="7"/>
      <c r="R28" s="11" t="n">
        <f aca="false">A28+5</f>
        <v>45080</v>
      </c>
      <c r="S28" s="5" t="n">
        <f aca="false">IF(R28&gt;=DATE(YEAR(R28)+1,1,4)-WEEKDAY(DATE(YEAR(R28)+1,1,4))+1,YEAR(R28)+1,IF(R28&lt;DATE(YEAR(R28),1,4)-WEEKDAY(DATE(YEAR(R28),1,4))+1,YEAR(R28)-1,YEAR(R28)))</f>
        <v>2023</v>
      </c>
      <c r="T28" s="5" t="n">
        <f aca="false">INT((R28-(DATE(S28,1,4)-WEEKDAY(DATE(S28,1,4))+1))/7)+1</f>
        <v>22</v>
      </c>
      <c r="U28" s="5" t="str">
        <f aca="false">IF(T28&gt;=36,S28&amp;"-"&amp;RIGHT(S28+1,2),(S28-1)&amp;"-"&amp;RIGHT(S28,2))</f>
        <v>2022-23</v>
      </c>
    </row>
    <row r="29" customFormat="false" ht="15" hidden="false" customHeight="false" outlineLevel="0" collapsed="false">
      <c r="A29" s="8" t="n">
        <v>45082</v>
      </c>
      <c r="B29" s="6" t="n">
        <v>5</v>
      </c>
      <c r="C29" s="6" t="n">
        <v>0</v>
      </c>
      <c r="D29" s="6" t="n">
        <v>0</v>
      </c>
      <c r="E29" s="6"/>
      <c r="F29" s="6"/>
      <c r="G29" s="6"/>
      <c r="H29" s="6"/>
      <c r="I29" s="6"/>
      <c r="J29" s="6"/>
      <c r="K29" s="6"/>
      <c r="L29" s="6"/>
      <c r="M29" s="5" t="str">
        <f aca="false">IF(AND(K29="",L29=""),"",SUM(K29:L29))</f>
        <v/>
      </c>
      <c r="N29" s="6"/>
      <c r="O29" s="6"/>
      <c r="P29" s="10" t="str">
        <f aca="false">IF(OR(M29="",M29=0),"",IF(N29="",0,N29)/M29)</f>
        <v/>
      </c>
      <c r="Q29" s="7"/>
      <c r="R29" s="11" t="n">
        <f aca="false">A29+5</f>
        <v>45087</v>
      </c>
      <c r="S29" s="5" t="n">
        <f aca="false">IF(R29&gt;=DATE(YEAR(R29)+1,1,4)-WEEKDAY(DATE(YEAR(R29)+1,1,4))+1,YEAR(R29)+1,IF(R29&lt;DATE(YEAR(R29),1,4)-WEEKDAY(DATE(YEAR(R29),1,4))+1,YEAR(R29)-1,YEAR(R29)))</f>
        <v>2023</v>
      </c>
      <c r="T29" s="5" t="n">
        <f aca="false">INT((R29-(DATE(S29,1,4)-WEEKDAY(DATE(S29,1,4))+1))/7)+1</f>
        <v>23</v>
      </c>
      <c r="U29" s="5" t="str">
        <f aca="false">IF(T29&gt;=36,S29&amp;"-"&amp;RIGHT(S29+1,2),(S29-1)&amp;"-"&amp;RIGHT(S29,2))</f>
        <v>2022-23</v>
      </c>
    </row>
    <row r="30" customFormat="false" ht="15" hidden="false" customHeight="false" outlineLevel="0" collapsed="false">
      <c r="A30" s="8" t="n">
        <v>45089</v>
      </c>
      <c r="B30" s="6" t="n">
        <v>5</v>
      </c>
      <c r="C30" s="6" t="n">
        <v>0</v>
      </c>
      <c r="D30" s="6" t="n">
        <v>0</v>
      </c>
      <c r="E30" s="6"/>
      <c r="F30" s="6"/>
      <c r="G30" s="6"/>
      <c r="H30" s="6"/>
      <c r="I30" s="6"/>
      <c r="J30" s="6"/>
      <c r="K30" s="6"/>
      <c r="L30" s="6"/>
      <c r="M30" s="5" t="str">
        <f aca="false">IF(AND(K30="",L30=""),"",SUM(K30:L30))</f>
        <v/>
      </c>
      <c r="N30" s="6"/>
      <c r="O30" s="6"/>
      <c r="P30" s="10" t="str">
        <f aca="false">IF(OR(M30="",M30=0),"",IF(N30="",0,N30)/M30)</f>
        <v/>
      </c>
      <c r="Q30" s="7"/>
      <c r="R30" s="11" t="n">
        <f aca="false">A30+5</f>
        <v>45094</v>
      </c>
      <c r="S30" s="5" t="n">
        <f aca="false">IF(R30&gt;=DATE(YEAR(R30)+1,1,4)-WEEKDAY(DATE(YEAR(R30)+1,1,4))+1,YEAR(R30)+1,IF(R30&lt;DATE(YEAR(R30),1,4)-WEEKDAY(DATE(YEAR(R30),1,4))+1,YEAR(R30)-1,YEAR(R30)))</f>
        <v>2023</v>
      </c>
      <c r="T30" s="5" t="n">
        <f aca="false">INT((R30-(DATE(S30,1,4)-WEEKDAY(DATE(S30,1,4))+1))/7)+1</f>
        <v>24</v>
      </c>
      <c r="U30" s="5" t="str">
        <f aca="false">IF(T30&gt;=36,S30&amp;"-"&amp;RIGHT(S30+1,2),(S30-1)&amp;"-"&amp;RIGHT(S30,2))</f>
        <v>2022-23</v>
      </c>
    </row>
    <row r="31" customFormat="false" ht="15" hidden="false" customHeight="false" outlineLevel="0" collapsed="false">
      <c r="A31" s="8" t="n">
        <v>45096</v>
      </c>
      <c r="B31" s="6" t="n">
        <v>2</v>
      </c>
      <c r="C31" s="6" t="n">
        <v>0</v>
      </c>
      <c r="D31" s="6" t="n">
        <v>0</v>
      </c>
      <c r="E31" s="6"/>
      <c r="F31" s="6"/>
      <c r="G31" s="6"/>
      <c r="H31" s="6"/>
      <c r="I31" s="6"/>
      <c r="J31" s="6"/>
      <c r="K31" s="6"/>
      <c r="L31" s="6"/>
      <c r="M31" s="5" t="str">
        <f aca="false">IF(AND(K31="",L31=""),"",SUM(K31:L31))</f>
        <v/>
      </c>
      <c r="N31" s="6"/>
      <c r="O31" s="6"/>
      <c r="P31" s="10" t="str">
        <f aca="false">IF(OR(M31="",M31=0),"",IF(N31="",0,N31)/M31)</f>
        <v/>
      </c>
      <c r="Q31" s="7"/>
      <c r="R31" s="11" t="n">
        <f aca="false">A31+5</f>
        <v>45101</v>
      </c>
      <c r="S31" s="5" t="n">
        <f aca="false">IF(R31&gt;=DATE(YEAR(R31)+1,1,4)-WEEKDAY(DATE(YEAR(R31)+1,1,4))+1,YEAR(R31)+1,IF(R31&lt;DATE(YEAR(R31),1,4)-WEEKDAY(DATE(YEAR(R31),1,4))+1,YEAR(R31)-1,YEAR(R31)))</f>
        <v>2023</v>
      </c>
      <c r="T31" s="5" t="n">
        <f aca="false">INT((R31-(DATE(S31,1,4)-WEEKDAY(DATE(S31,1,4))+1))/7)+1</f>
        <v>25</v>
      </c>
      <c r="U31" s="5" t="str">
        <f aca="false">IF(T31&gt;=36,S31&amp;"-"&amp;RIGHT(S31+1,2),(S31-1)&amp;"-"&amp;RIGHT(S31,2))</f>
        <v>2022-23</v>
      </c>
    </row>
    <row r="32" customFormat="false" ht="15" hidden="false" customHeight="false" outlineLevel="0" collapsed="false">
      <c r="A32" s="8" t="n">
        <v>45103</v>
      </c>
      <c r="B32" s="6" t="n">
        <v>0</v>
      </c>
      <c r="C32" s="6" t="n">
        <v>0</v>
      </c>
      <c r="D32" s="6" t="n">
        <v>0</v>
      </c>
      <c r="E32" s="6"/>
      <c r="F32" s="6"/>
      <c r="G32" s="6"/>
      <c r="H32" s="6"/>
      <c r="I32" s="6"/>
      <c r="J32" s="6"/>
      <c r="K32" s="6"/>
      <c r="L32" s="6"/>
      <c r="M32" s="5" t="str">
        <f aca="false">IF(AND(K32="",L32=""),"",SUM(K32:L32))</f>
        <v/>
      </c>
      <c r="N32" s="6"/>
      <c r="O32" s="6"/>
      <c r="P32" s="10" t="str">
        <f aca="false">IF(OR(M32="",M32=0),"",IF(N32="",0,N32)/M32)</f>
        <v/>
      </c>
      <c r="Q32" s="7"/>
      <c r="R32" s="11" t="n">
        <f aca="false">A32+5</f>
        <v>45108</v>
      </c>
      <c r="S32" s="5" t="n">
        <f aca="false">IF(R32&gt;=DATE(YEAR(R32)+1,1,4)-WEEKDAY(DATE(YEAR(R32)+1,1,4))+1,YEAR(R32)+1,IF(R32&lt;DATE(YEAR(R32),1,4)-WEEKDAY(DATE(YEAR(R32),1,4))+1,YEAR(R32)-1,YEAR(R32)))</f>
        <v>2023</v>
      </c>
      <c r="T32" s="5" t="n">
        <f aca="false">INT((R32-(DATE(S32,1,4)-WEEKDAY(DATE(S32,1,4))+1))/7)+1</f>
        <v>26</v>
      </c>
      <c r="U32" s="5" t="str">
        <f aca="false">IF(T32&gt;=36,S32&amp;"-"&amp;RIGHT(S32+1,2),(S32-1)&amp;"-"&amp;RIGHT(S32,2))</f>
        <v>2022-23</v>
      </c>
    </row>
    <row r="33" customFormat="false" ht="15" hidden="false" customHeight="false" outlineLevel="0" collapsed="false">
      <c r="A33" s="8" t="n">
        <v>45110</v>
      </c>
      <c r="B33" s="6" t="n">
        <v>3</v>
      </c>
      <c r="C33" s="6" t="n">
        <v>0</v>
      </c>
      <c r="D33" s="6" t="n">
        <v>0</v>
      </c>
      <c r="E33" s="6"/>
      <c r="F33" s="6"/>
      <c r="G33" s="6"/>
      <c r="H33" s="6"/>
      <c r="I33" s="6"/>
      <c r="J33" s="6"/>
      <c r="K33" s="6"/>
      <c r="L33" s="6"/>
      <c r="M33" s="5" t="str">
        <f aca="false">IF(AND(K33="",L33=""),"",SUM(K33:L33))</f>
        <v/>
      </c>
      <c r="N33" s="6"/>
      <c r="O33" s="6"/>
      <c r="P33" s="10" t="str">
        <f aca="false">IF(OR(M33="",M33=0),"",IF(N33="",0,N33)/M33)</f>
        <v/>
      </c>
      <c r="Q33" s="7"/>
      <c r="R33" s="11" t="n">
        <f aca="false">A33+5</f>
        <v>45115</v>
      </c>
      <c r="S33" s="5" t="n">
        <f aca="false">IF(R33&gt;=DATE(YEAR(R33)+1,1,4)-WEEKDAY(DATE(YEAR(R33)+1,1,4))+1,YEAR(R33)+1,IF(R33&lt;DATE(YEAR(R33),1,4)-WEEKDAY(DATE(YEAR(R33),1,4))+1,YEAR(R33)-1,YEAR(R33)))</f>
        <v>2023</v>
      </c>
      <c r="T33" s="5" t="n">
        <f aca="false">INT((R33-(DATE(S33,1,4)-WEEKDAY(DATE(S33,1,4))+1))/7)+1</f>
        <v>27</v>
      </c>
      <c r="U33" s="5" t="str">
        <f aca="false">IF(T33&gt;=36,S33&amp;"-"&amp;RIGHT(S33+1,2),(S33-1)&amp;"-"&amp;RIGHT(S33,2))</f>
        <v>2022-23</v>
      </c>
    </row>
    <row r="34" customFormat="false" ht="15" hidden="false" customHeight="false" outlineLevel="0" collapsed="false">
      <c r="A34" s="8" t="n">
        <v>45117</v>
      </c>
      <c r="B34" s="6" t="n">
        <v>0</v>
      </c>
      <c r="C34" s="6" t="n">
        <v>0</v>
      </c>
      <c r="D34" s="6" t="n">
        <v>0</v>
      </c>
      <c r="E34" s="6"/>
      <c r="F34" s="6"/>
      <c r="G34" s="6"/>
      <c r="H34" s="6"/>
      <c r="I34" s="6"/>
      <c r="J34" s="6"/>
      <c r="K34" s="6"/>
      <c r="L34" s="6"/>
      <c r="M34" s="5" t="str">
        <f aca="false">IF(AND(K34="",L34=""),"",SUM(K34:L34))</f>
        <v/>
      </c>
      <c r="N34" s="6"/>
      <c r="O34" s="6"/>
      <c r="P34" s="10" t="str">
        <f aca="false">IF(OR(M34="",M34=0),"",IF(N34="",0,N34)/M34)</f>
        <v/>
      </c>
      <c r="Q34" s="7"/>
      <c r="R34" s="11" t="n">
        <f aca="false">A34+5</f>
        <v>45122</v>
      </c>
      <c r="S34" s="5" t="n">
        <f aca="false">IF(R34&gt;=DATE(YEAR(R34)+1,1,4)-WEEKDAY(DATE(YEAR(R34)+1,1,4))+1,YEAR(R34)+1,IF(R34&lt;DATE(YEAR(R34),1,4)-WEEKDAY(DATE(YEAR(R34),1,4))+1,YEAR(R34)-1,YEAR(R34)))</f>
        <v>2023</v>
      </c>
      <c r="T34" s="5" t="n">
        <f aca="false">INT((R34-(DATE(S34,1,4)-WEEKDAY(DATE(S34,1,4))+1))/7)+1</f>
        <v>28</v>
      </c>
      <c r="U34" s="5" t="str">
        <f aca="false">IF(T34&gt;=36,S34&amp;"-"&amp;RIGHT(S34+1,2),(S34-1)&amp;"-"&amp;RIGHT(S34,2))</f>
        <v>2022-23</v>
      </c>
    </row>
    <row r="35" customFormat="false" ht="15" hidden="false" customHeight="false" outlineLevel="0" collapsed="false">
      <c r="A35" s="8" t="n">
        <v>45124</v>
      </c>
      <c r="B35" s="6" t="n">
        <v>4</v>
      </c>
      <c r="C35" s="6" t="n">
        <v>0</v>
      </c>
      <c r="D35" s="6" t="n">
        <v>0</v>
      </c>
      <c r="E35" s="6"/>
      <c r="F35" s="6"/>
      <c r="G35" s="6"/>
      <c r="H35" s="6"/>
      <c r="I35" s="6"/>
      <c r="J35" s="6"/>
      <c r="K35" s="6"/>
      <c r="L35" s="6"/>
      <c r="M35" s="5" t="str">
        <f aca="false">IF(AND(K35="",L35=""),"",SUM(K35:L35))</f>
        <v/>
      </c>
      <c r="N35" s="6"/>
      <c r="O35" s="6"/>
      <c r="P35" s="10" t="str">
        <f aca="false">IF(OR(M35="",M35=0),"",IF(N35="",0,N35)/M35)</f>
        <v/>
      </c>
      <c r="Q35" s="7"/>
      <c r="R35" s="11" t="n">
        <f aca="false">A35+5</f>
        <v>45129</v>
      </c>
      <c r="S35" s="5" t="n">
        <f aca="false">IF(R35&gt;=DATE(YEAR(R35)+1,1,4)-WEEKDAY(DATE(YEAR(R35)+1,1,4))+1,YEAR(R35)+1,IF(R35&lt;DATE(YEAR(R35),1,4)-WEEKDAY(DATE(YEAR(R35),1,4))+1,YEAR(R35)-1,YEAR(R35)))</f>
        <v>2023</v>
      </c>
      <c r="T35" s="5" t="n">
        <f aca="false">INT((R35-(DATE(S35,1,4)-WEEKDAY(DATE(S35,1,4))+1))/7)+1</f>
        <v>29</v>
      </c>
      <c r="U35" s="5" t="str">
        <f aca="false">IF(T35&gt;=36,S35&amp;"-"&amp;RIGHT(S35+1,2),(S35-1)&amp;"-"&amp;RIGHT(S35,2))</f>
        <v>2022-23</v>
      </c>
    </row>
    <row r="36" customFormat="false" ht="15" hidden="false" customHeight="false" outlineLevel="0" collapsed="false">
      <c r="A36" s="8" t="n">
        <v>45131</v>
      </c>
      <c r="B36" s="6" t="n">
        <v>3</v>
      </c>
      <c r="C36" s="6" t="n">
        <v>0</v>
      </c>
      <c r="D36" s="6" t="n">
        <v>0</v>
      </c>
      <c r="E36" s="6"/>
      <c r="F36" s="6"/>
      <c r="G36" s="6"/>
      <c r="H36" s="6"/>
      <c r="I36" s="6"/>
      <c r="J36" s="6"/>
      <c r="K36" s="6"/>
      <c r="L36" s="6"/>
      <c r="M36" s="5" t="str">
        <f aca="false">IF(AND(K36="",L36=""),"",SUM(K36:L36))</f>
        <v/>
      </c>
      <c r="N36" s="6"/>
      <c r="O36" s="6"/>
      <c r="P36" s="10" t="str">
        <f aca="false">IF(OR(M36="",M36=0),"",IF(N36="",0,N36)/M36)</f>
        <v/>
      </c>
      <c r="Q36" s="7"/>
      <c r="R36" s="11" t="n">
        <f aca="false">A36+5</f>
        <v>45136</v>
      </c>
      <c r="S36" s="5" t="n">
        <f aca="false">IF(R36&gt;=DATE(YEAR(R36)+1,1,4)-WEEKDAY(DATE(YEAR(R36)+1,1,4))+1,YEAR(R36)+1,IF(R36&lt;DATE(YEAR(R36),1,4)-WEEKDAY(DATE(YEAR(R36),1,4))+1,YEAR(R36)-1,YEAR(R36)))</f>
        <v>2023</v>
      </c>
      <c r="T36" s="5" t="n">
        <f aca="false">INT((R36-(DATE(S36,1,4)-WEEKDAY(DATE(S36,1,4))+1))/7)+1</f>
        <v>30</v>
      </c>
      <c r="U36" s="5" t="str">
        <f aca="false">IF(T36&gt;=36,S36&amp;"-"&amp;RIGHT(S36+1,2),(S36-1)&amp;"-"&amp;RIGHT(S36,2))</f>
        <v>2022-23</v>
      </c>
    </row>
    <row r="37" customFormat="false" ht="15" hidden="false" customHeight="false" outlineLevel="0" collapsed="false">
      <c r="A37" s="8" t="n">
        <v>45138</v>
      </c>
      <c r="B37" s="6" t="n">
        <v>1</v>
      </c>
      <c r="C37" s="6" t="n">
        <v>0</v>
      </c>
      <c r="D37" s="6" t="n">
        <v>0</v>
      </c>
      <c r="E37" s="6"/>
      <c r="F37" s="6"/>
      <c r="G37" s="6"/>
      <c r="H37" s="6"/>
      <c r="I37" s="6"/>
      <c r="J37" s="6"/>
      <c r="K37" s="6"/>
      <c r="L37" s="6"/>
      <c r="M37" s="5" t="str">
        <f aca="false">IF(AND(K37="",L37=""),"",SUM(K37:L37))</f>
        <v/>
      </c>
      <c r="N37" s="6"/>
      <c r="O37" s="6"/>
      <c r="P37" s="10" t="str">
        <f aca="false">IF(OR(M37="",M37=0),"",IF(N37="",0,N37)/M37)</f>
        <v/>
      </c>
      <c r="Q37" s="7"/>
      <c r="R37" s="11" t="n">
        <f aca="false">A37+5</f>
        <v>45143</v>
      </c>
      <c r="S37" s="5" t="n">
        <f aca="false">IF(R37&gt;=DATE(YEAR(R37)+1,1,4)-WEEKDAY(DATE(YEAR(R37)+1,1,4))+1,YEAR(R37)+1,IF(R37&lt;DATE(YEAR(R37),1,4)-WEEKDAY(DATE(YEAR(R37),1,4))+1,YEAR(R37)-1,YEAR(R37)))</f>
        <v>2023</v>
      </c>
      <c r="T37" s="5" t="n">
        <f aca="false">INT((R37-(DATE(S37,1,4)-WEEKDAY(DATE(S37,1,4))+1))/7)+1</f>
        <v>31</v>
      </c>
      <c r="U37" s="5" t="str">
        <f aca="false">IF(T37&gt;=36,S37&amp;"-"&amp;RIGHT(S37+1,2),(S37-1)&amp;"-"&amp;RIGHT(S37,2))</f>
        <v>2022-23</v>
      </c>
    </row>
    <row r="38" customFormat="false" ht="15" hidden="false" customHeight="false" outlineLevel="0" collapsed="false">
      <c r="A38" s="8" t="n">
        <v>45145</v>
      </c>
      <c r="B38" s="6" t="n">
        <v>5</v>
      </c>
      <c r="C38" s="6" t="n">
        <v>0</v>
      </c>
      <c r="D38" s="6" t="n">
        <v>0</v>
      </c>
      <c r="E38" s="6"/>
      <c r="F38" s="6"/>
      <c r="G38" s="6"/>
      <c r="H38" s="6"/>
      <c r="I38" s="6"/>
      <c r="J38" s="6"/>
      <c r="K38" s="6"/>
      <c r="L38" s="6"/>
      <c r="M38" s="5" t="str">
        <f aca="false">IF(AND(K38="",L38=""),"",SUM(K38:L38))</f>
        <v/>
      </c>
      <c r="N38" s="6"/>
      <c r="O38" s="6"/>
      <c r="P38" s="10" t="str">
        <f aca="false">IF(OR(M38="",M38=0),"",IF(N38="",0,N38)/M38)</f>
        <v/>
      </c>
      <c r="Q38" s="7"/>
      <c r="R38" s="11" t="n">
        <f aca="false">A38+5</f>
        <v>45150</v>
      </c>
      <c r="S38" s="5" t="n">
        <f aca="false">IF(R38&gt;=DATE(YEAR(R38)+1,1,4)-WEEKDAY(DATE(YEAR(R38)+1,1,4))+1,YEAR(R38)+1,IF(R38&lt;DATE(YEAR(R38),1,4)-WEEKDAY(DATE(YEAR(R38),1,4))+1,YEAR(R38)-1,YEAR(R38)))</f>
        <v>2023</v>
      </c>
      <c r="T38" s="5" t="n">
        <f aca="false">INT((R38-(DATE(S38,1,4)-WEEKDAY(DATE(S38,1,4))+1))/7)+1</f>
        <v>32</v>
      </c>
      <c r="U38" s="5" t="str">
        <f aca="false">IF(T38&gt;=36,S38&amp;"-"&amp;RIGHT(S38+1,2),(S38-1)&amp;"-"&amp;RIGHT(S38,2))</f>
        <v>2022-23</v>
      </c>
    </row>
    <row r="39" customFormat="false" ht="15" hidden="false" customHeight="false" outlineLevel="0" collapsed="false">
      <c r="A39" s="8" t="n">
        <v>45152</v>
      </c>
      <c r="B39" s="6" t="n">
        <v>9</v>
      </c>
      <c r="C39" s="6" t="n">
        <v>0</v>
      </c>
      <c r="D39" s="6" t="n">
        <v>0</v>
      </c>
      <c r="E39" s="6"/>
      <c r="F39" s="6"/>
      <c r="G39" s="6"/>
      <c r="H39" s="6"/>
      <c r="I39" s="6"/>
      <c r="J39" s="6"/>
      <c r="K39" s="6"/>
      <c r="L39" s="6"/>
      <c r="M39" s="5" t="str">
        <f aca="false">IF(AND(K39="",L39=""),"",SUM(K39:L39))</f>
        <v/>
      </c>
      <c r="N39" s="6"/>
      <c r="O39" s="6"/>
      <c r="P39" s="10" t="str">
        <f aca="false">IF(OR(M39="",M39=0),"",IF(N39="",0,N39)/M39)</f>
        <v/>
      </c>
      <c r="Q39" s="7"/>
      <c r="R39" s="11" t="n">
        <f aca="false">A39+5</f>
        <v>45157</v>
      </c>
      <c r="S39" s="5" t="n">
        <f aca="false">IF(R39&gt;=DATE(YEAR(R39)+1,1,4)-WEEKDAY(DATE(YEAR(R39)+1,1,4))+1,YEAR(R39)+1,IF(R39&lt;DATE(YEAR(R39),1,4)-WEEKDAY(DATE(YEAR(R39),1,4))+1,YEAR(R39)-1,YEAR(R39)))</f>
        <v>2023</v>
      </c>
      <c r="T39" s="5" t="n">
        <f aca="false">INT((R39-(DATE(S39,1,4)-WEEKDAY(DATE(S39,1,4))+1))/7)+1</f>
        <v>33</v>
      </c>
      <c r="U39" s="5" t="str">
        <f aca="false">IF(T39&gt;=36,S39&amp;"-"&amp;RIGHT(S39+1,2),(S39-1)&amp;"-"&amp;RIGHT(S39,2))</f>
        <v>2022-23</v>
      </c>
    </row>
    <row r="40" customFormat="false" ht="15" hidden="false" customHeight="false" outlineLevel="0" collapsed="false">
      <c r="A40" s="8" t="n">
        <v>45159</v>
      </c>
      <c r="B40" s="6" t="n">
        <v>8</v>
      </c>
      <c r="C40" s="6" t="n">
        <v>0</v>
      </c>
      <c r="D40" s="6" t="n">
        <v>0</v>
      </c>
      <c r="E40" s="6"/>
      <c r="F40" s="6"/>
      <c r="G40" s="6"/>
      <c r="H40" s="6"/>
      <c r="I40" s="6"/>
      <c r="J40" s="6"/>
      <c r="K40" s="6"/>
      <c r="L40" s="6"/>
      <c r="M40" s="5" t="str">
        <f aca="false">IF(AND(K40="",L40=""),"",SUM(K40:L40))</f>
        <v/>
      </c>
      <c r="N40" s="6"/>
      <c r="O40" s="6"/>
      <c r="P40" s="10" t="str">
        <f aca="false">IF(OR(M40="",M40=0),"",IF(N40="",0,N40)/M40)</f>
        <v/>
      </c>
      <c r="Q40" s="7"/>
      <c r="R40" s="11" t="n">
        <f aca="false">A40+5</f>
        <v>45164</v>
      </c>
      <c r="S40" s="5" t="n">
        <f aca="false">IF(R40&gt;=DATE(YEAR(R40)+1,1,4)-WEEKDAY(DATE(YEAR(R40)+1,1,4))+1,YEAR(R40)+1,IF(R40&lt;DATE(YEAR(R40),1,4)-WEEKDAY(DATE(YEAR(R40),1,4))+1,YEAR(R40)-1,YEAR(R40)))</f>
        <v>2023</v>
      </c>
      <c r="T40" s="5" t="n">
        <f aca="false">INT((R40-(DATE(S40,1,4)-WEEKDAY(DATE(S40,1,4))+1))/7)+1</f>
        <v>34</v>
      </c>
      <c r="U40" s="5" t="str">
        <f aca="false">IF(T40&gt;=36,S40&amp;"-"&amp;RIGHT(S40+1,2),(S40-1)&amp;"-"&amp;RIGHT(S40,2))</f>
        <v>2022-23</v>
      </c>
    </row>
    <row r="41" customFormat="false" ht="15" hidden="false" customHeight="false" outlineLevel="0" collapsed="false">
      <c r="A41" s="8" t="n">
        <v>45166</v>
      </c>
      <c r="B41" s="6" t="n">
        <v>18</v>
      </c>
      <c r="C41" s="6" t="n">
        <v>0</v>
      </c>
      <c r="D41" s="6" t="n">
        <v>0</v>
      </c>
      <c r="E41" s="6"/>
      <c r="F41" s="6"/>
      <c r="G41" s="6"/>
      <c r="H41" s="6"/>
      <c r="I41" s="6"/>
      <c r="J41" s="6"/>
      <c r="K41" s="6"/>
      <c r="L41" s="6"/>
      <c r="M41" s="5" t="str">
        <f aca="false">IF(AND(K41="",L41=""),"",SUM(K41:L41))</f>
        <v/>
      </c>
      <c r="N41" s="6"/>
      <c r="O41" s="6"/>
      <c r="P41" s="10" t="str">
        <f aca="false">IF(OR(M41="",M41=0),"",IF(N41="",0,N41)/M41)</f>
        <v/>
      </c>
      <c r="Q41" s="7"/>
      <c r="R41" s="11" t="n">
        <f aca="false">A41+5</f>
        <v>45171</v>
      </c>
      <c r="S41" s="5" t="n">
        <f aca="false">IF(R41&gt;=DATE(YEAR(R41)+1,1,4)-WEEKDAY(DATE(YEAR(R41)+1,1,4))+1,YEAR(R41)+1,IF(R41&lt;DATE(YEAR(R41),1,4)-WEEKDAY(DATE(YEAR(R41),1,4))+1,YEAR(R41)-1,YEAR(R41)))</f>
        <v>2023</v>
      </c>
      <c r="T41" s="5" t="n">
        <f aca="false">INT((R41-(DATE(S41,1,4)-WEEKDAY(DATE(S41,1,4))+1))/7)+1</f>
        <v>35</v>
      </c>
      <c r="U41" s="5" t="str">
        <f aca="false">IF(T41&gt;=36,S41&amp;"-"&amp;RIGHT(S41+1,2),(S41-1)&amp;"-"&amp;RIGHT(S41,2))</f>
        <v>2022-23</v>
      </c>
    </row>
    <row r="42" customFormat="false" ht="15" hidden="false" customHeight="false" outlineLevel="0" collapsed="false">
      <c r="A42" s="8" t="n">
        <v>45173</v>
      </c>
      <c r="B42" s="6" t="n">
        <v>18</v>
      </c>
      <c r="C42" s="6" t="n">
        <v>0</v>
      </c>
      <c r="D42" s="6" t="n">
        <v>0</v>
      </c>
      <c r="E42" s="6"/>
      <c r="F42" s="6"/>
      <c r="G42" s="6"/>
      <c r="H42" s="6"/>
      <c r="I42" s="6"/>
      <c r="J42" s="6"/>
      <c r="K42" s="6"/>
      <c r="L42" s="6"/>
      <c r="M42" s="5" t="str">
        <f aca="false">IF(AND(K42="",L42=""),"",SUM(K42:L42))</f>
        <v/>
      </c>
      <c r="N42" s="6"/>
      <c r="O42" s="6"/>
      <c r="P42" s="10" t="str">
        <f aca="false">IF(OR(M42="",M42=0),"",IF(N42="",0,N42)/M42)</f>
        <v/>
      </c>
      <c r="Q42" s="7"/>
      <c r="R42" s="11" t="n">
        <f aca="false">A42+5</f>
        <v>45178</v>
      </c>
      <c r="S42" s="5" t="n">
        <f aca="false">IF(R42&gt;=DATE(YEAR(R42)+1,1,4)-WEEKDAY(DATE(YEAR(R42)+1,1,4))+1,YEAR(R42)+1,IF(R42&lt;DATE(YEAR(R42),1,4)-WEEKDAY(DATE(YEAR(R42),1,4))+1,YEAR(R42)-1,YEAR(R42)))</f>
        <v>2023</v>
      </c>
      <c r="T42" s="5" t="n">
        <f aca="false">INT((R42-(DATE(S42,1,4)-WEEKDAY(DATE(S42,1,4))+1))/7)+1</f>
        <v>36</v>
      </c>
      <c r="U42" s="5" t="str">
        <f aca="false">IF(T42&gt;=36,S42&amp;"-"&amp;RIGHT(S42+1,2),(S42-1)&amp;"-"&amp;RIGHT(S42,2))</f>
        <v>2023-24</v>
      </c>
    </row>
    <row r="43" customFormat="false" ht="15" hidden="false" customHeight="false" outlineLevel="0" collapsed="false">
      <c r="A43" s="8" t="n">
        <v>45180</v>
      </c>
      <c r="B43" s="6" t="n">
        <v>5</v>
      </c>
      <c r="C43" s="6" t="n">
        <v>0</v>
      </c>
      <c r="D43" s="6" t="n">
        <v>0</v>
      </c>
      <c r="E43" s="6"/>
      <c r="F43" s="6"/>
      <c r="G43" s="6"/>
      <c r="H43" s="6"/>
      <c r="I43" s="6"/>
      <c r="J43" s="6"/>
      <c r="K43" s="6"/>
      <c r="L43" s="6"/>
      <c r="M43" s="5" t="str">
        <f aca="false">IF(AND(K43="",L43=""),"",SUM(K43:L43))</f>
        <v/>
      </c>
      <c r="N43" s="6"/>
      <c r="O43" s="6"/>
      <c r="P43" s="10" t="str">
        <f aca="false">IF(OR(M43="",M43=0),"",IF(N43="",0,N43)/M43)</f>
        <v/>
      </c>
      <c r="Q43" s="7"/>
      <c r="R43" s="11" t="n">
        <f aca="false">A43+5</f>
        <v>45185</v>
      </c>
      <c r="S43" s="5" t="n">
        <f aca="false">IF(R43&gt;=DATE(YEAR(R43)+1,1,4)-WEEKDAY(DATE(YEAR(R43)+1,1,4))+1,YEAR(R43)+1,IF(R43&lt;DATE(YEAR(R43),1,4)-WEEKDAY(DATE(YEAR(R43),1,4))+1,YEAR(R43)-1,YEAR(R43)))</f>
        <v>2023</v>
      </c>
      <c r="T43" s="5" t="n">
        <f aca="false">INT((R43-(DATE(S43,1,4)-WEEKDAY(DATE(S43,1,4))+1))/7)+1</f>
        <v>37</v>
      </c>
      <c r="U43" s="5" t="str">
        <f aca="false">IF(T43&gt;=36,S43&amp;"-"&amp;RIGHT(S43+1,2),(S43-1)&amp;"-"&amp;RIGHT(S43,2))</f>
        <v>2023-24</v>
      </c>
    </row>
    <row r="44" customFormat="false" ht="15" hidden="false" customHeight="false" outlineLevel="0" collapsed="false">
      <c r="A44" s="8" t="n">
        <v>45187</v>
      </c>
      <c r="B44" s="6" t="n">
        <v>6</v>
      </c>
      <c r="C44" s="6" t="n">
        <v>2</v>
      </c>
      <c r="D44" s="6" t="n">
        <v>1</v>
      </c>
      <c r="E44" s="6" t="n">
        <v>2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5" t="n">
        <f aca="false">IF(AND(K44="",L44=""),"",SUM(K44:L44))</f>
        <v>0</v>
      </c>
      <c r="N44" s="6"/>
      <c r="O44" s="6"/>
      <c r="P44" s="10" t="str">
        <f aca="false">IF(OR(M44="",M44=0),"",IF(N44="",0,N44)/M44)</f>
        <v/>
      </c>
      <c r="Q44" s="7" t="s">
        <v>59</v>
      </c>
      <c r="R44" s="11" t="n">
        <f aca="false">A44+5</f>
        <v>45192</v>
      </c>
      <c r="S44" s="5" t="n">
        <f aca="false">IF(R44&gt;=DATE(YEAR(R44)+1,1,4)-WEEKDAY(DATE(YEAR(R44)+1,1,4))+1,YEAR(R44)+1,IF(R44&lt;DATE(YEAR(R44),1,4)-WEEKDAY(DATE(YEAR(R44),1,4))+1,YEAR(R44)-1,YEAR(R44)))</f>
        <v>2023</v>
      </c>
      <c r="T44" s="5" t="n">
        <f aca="false">INT((R44-(DATE(S44,1,4)-WEEKDAY(DATE(S44,1,4))+1))/7)+1</f>
        <v>38</v>
      </c>
      <c r="U44" s="5" t="str">
        <f aca="false">IF(T44&gt;=36,S44&amp;"-"&amp;RIGHT(S44+1,2),(S44-1)&amp;"-"&amp;RIGHT(S44,2))</f>
        <v>2023-24</v>
      </c>
    </row>
    <row r="45" customFormat="false" ht="15" hidden="false" customHeight="false" outlineLevel="0" collapsed="false">
      <c r="A45" s="8" t="n">
        <v>45194</v>
      </c>
      <c r="B45" s="6" t="n">
        <v>5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1</v>
      </c>
      <c r="H45" s="6" t="n">
        <v>0</v>
      </c>
      <c r="I45" s="6" t="n">
        <v>0</v>
      </c>
      <c r="J45" s="6" t="n">
        <v>0</v>
      </c>
      <c r="K45" s="6" t="n">
        <v>1</v>
      </c>
      <c r="L45" s="6" t="n">
        <v>0</v>
      </c>
      <c r="M45" s="5" t="n">
        <f aca="false">IF(AND(K45="",L45=""),"",SUM(K45:L45))</f>
        <v>1</v>
      </c>
      <c r="N45" s="6"/>
      <c r="O45" s="6"/>
      <c r="P45" s="10" t="n">
        <f aca="false">IF(OR(M45="",M45=0),"",IF(N45="",0,N45)/M45)</f>
        <v>0</v>
      </c>
      <c r="Q45" s="7" t="s">
        <v>59</v>
      </c>
      <c r="R45" s="11" t="n">
        <f aca="false">A45+5</f>
        <v>45199</v>
      </c>
      <c r="S45" s="5" t="n">
        <f aca="false">IF(R45&gt;=DATE(YEAR(R45)+1,1,4)-WEEKDAY(DATE(YEAR(R45)+1,1,4))+1,YEAR(R45)+1,IF(R45&lt;DATE(YEAR(R45),1,4)-WEEKDAY(DATE(YEAR(R45),1,4))+1,YEAR(R45)-1,YEAR(R45)))</f>
        <v>2023</v>
      </c>
      <c r="T45" s="5" t="n">
        <f aca="false">INT((R45-(DATE(S45,1,4)-WEEKDAY(DATE(S45,1,4))+1))/7)+1</f>
        <v>39</v>
      </c>
      <c r="U45" s="5" t="str">
        <f aca="false">IF(T45&gt;=36,S45&amp;"-"&amp;RIGHT(S45+1,2),(S45-1)&amp;"-"&amp;RIGHT(S45,2))</f>
        <v>2023-24</v>
      </c>
    </row>
    <row r="46" customFormat="false" ht="15" hidden="false" customHeight="false" outlineLevel="0" collapsed="false">
      <c r="A46" s="8" t="n">
        <v>45201</v>
      </c>
      <c r="B46" s="6" t="n">
        <v>1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5" t="n">
        <f aca="false">IF(AND(K46="",L46=""),"",SUM(K46:L46))</f>
        <v>0</v>
      </c>
      <c r="N46" s="6"/>
      <c r="O46" s="6"/>
      <c r="P46" s="10" t="str">
        <f aca="false">IF(OR(M46="",M46=0),"",IF(N46="",0,N46)/M46)</f>
        <v/>
      </c>
      <c r="Q46" s="7" t="s">
        <v>59</v>
      </c>
      <c r="R46" s="11" t="n">
        <f aca="false">A46+5</f>
        <v>45206</v>
      </c>
      <c r="S46" s="5" t="n">
        <f aca="false">IF(R46&gt;=DATE(YEAR(R46)+1,1,4)-WEEKDAY(DATE(YEAR(R46)+1,1,4))+1,YEAR(R46)+1,IF(R46&lt;DATE(YEAR(R46),1,4)-WEEKDAY(DATE(YEAR(R46),1,4))+1,YEAR(R46)-1,YEAR(R46)))</f>
        <v>2023</v>
      </c>
      <c r="T46" s="5" t="n">
        <f aca="false">INT((R46-(DATE(S46,1,4)-WEEKDAY(DATE(S46,1,4))+1))/7)+1</f>
        <v>40</v>
      </c>
      <c r="U46" s="5" t="str">
        <f aca="false">IF(T46&gt;=36,S46&amp;"-"&amp;RIGHT(S46+1,2),(S46-1)&amp;"-"&amp;RIGHT(S46,2))</f>
        <v>2023-24</v>
      </c>
    </row>
    <row r="47" customFormat="false" ht="15" hidden="false" customHeight="false" outlineLevel="0" collapsed="false">
      <c r="A47" s="8" t="n">
        <v>45208</v>
      </c>
      <c r="B47" s="6" t="n">
        <v>14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1</v>
      </c>
      <c r="J47" s="6" t="n">
        <v>0</v>
      </c>
      <c r="K47" s="6" t="n">
        <v>0</v>
      </c>
      <c r="L47" s="6" t="n">
        <v>0</v>
      </c>
      <c r="M47" s="5" t="n">
        <f aca="false">IF(AND(K47="",L47=""),"",SUM(K47:L47))</f>
        <v>0</v>
      </c>
      <c r="N47" s="6"/>
      <c r="O47" s="6"/>
      <c r="P47" s="10" t="str">
        <f aca="false">IF(OR(M47="",M47=0),"",IF(N47="",0,N47)/M47)</f>
        <v/>
      </c>
      <c r="Q47" s="7" t="s">
        <v>59</v>
      </c>
      <c r="R47" s="11" t="n">
        <f aca="false">A47+5</f>
        <v>45213</v>
      </c>
      <c r="S47" s="5" t="n">
        <f aca="false">IF(R47&gt;=DATE(YEAR(R47)+1,1,4)-WEEKDAY(DATE(YEAR(R47)+1,1,4))+1,YEAR(R47)+1,IF(R47&lt;DATE(YEAR(R47),1,4)-WEEKDAY(DATE(YEAR(R47),1,4))+1,YEAR(R47)-1,YEAR(R47)))</f>
        <v>2023</v>
      </c>
      <c r="T47" s="5" t="n">
        <f aca="false">INT((R47-(DATE(S47,1,4)-WEEKDAY(DATE(S47,1,4))+1))/7)+1</f>
        <v>41</v>
      </c>
      <c r="U47" s="5" t="str">
        <f aca="false">IF(T47&gt;=36,S47&amp;"-"&amp;RIGHT(S47+1,2),(S47-1)&amp;"-"&amp;RIGHT(S47,2))</f>
        <v>2023-24</v>
      </c>
    </row>
    <row r="48" customFormat="false" ht="15" hidden="false" customHeight="false" outlineLevel="0" collapsed="false">
      <c r="A48" s="8" t="n">
        <v>45215</v>
      </c>
      <c r="B48" s="6" t="n">
        <v>7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5" t="n">
        <f aca="false">IF(AND(K48="",L48=""),"",SUM(K48:L48))</f>
        <v>0</v>
      </c>
      <c r="N48" s="6"/>
      <c r="O48" s="6"/>
      <c r="P48" s="10" t="str">
        <f aca="false">IF(OR(M48="",M48=0),"",IF(N48="",0,N48)/M48)</f>
        <v/>
      </c>
      <c r="Q48" s="7" t="s">
        <v>59</v>
      </c>
      <c r="R48" s="11" t="n">
        <f aca="false">A48+5</f>
        <v>45220</v>
      </c>
      <c r="S48" s="5" t="n">
        <f aca="false">IF(R48&gt;=DATE(YEAR(R48)+1,1,4)-WEEKDAY(DATE(YEAR(R48)+1,1,4))+1,YEAR(R48)+1,IF(R48&lt;DATE(YEAR(R48),1,4)-WEEKDAY(DATE(YEAR(R48),1,4))+1,YEAR(R48)-1,YEAR(R48)))</f>
        <v>2023</v>
      </c>
      <c r="T48" s="5" t="n">
        <f aca="false">INT((R48-(DATE(S48,1,4)-WEEKDAY(DATE(S48,1,4))+1))/7)+1</f>
        <v>42</v>
      </c>
      <c r="U48" s="5" t="str">
        <f aca="false">IF(T48&gt;=36,S48&amp;"-"&amp;RIGHT(S48+1,2),(S48-1)&amp;"-"&amp;RIGHT(S48,2))</f>
        <v>2023-24</v>
      </c>
    </row>
    <row r="49" customFormat="false" ht="15" hidden="false" customHeight="false" outlineLevel="0" collapsed="false">
      <c r="A49" s="8" t="n">
        <v>45222</v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2</v>
      </c>
      <c r="H49" s="6" t="n">
        <v>0</v>
      </c>
      <c r="I49" s="6" t="n">
        <v>1</v>
      </c>
      <c r="J49" s="6" t="n">
        <v>0</v>
      </c>
      <c r="K49" s="6" t="n">
        <v>0</v>
      </c>
      <c r="L49" s="6" t="n">
        <v>2</v>
      </c>
      <c r="M49" s="5" t="n">
        <f aca="false">IF(AND(K49="",L49=""),"",SUM(K49:L49))</f>
        <v>2</v>
      </c>
      <c r="N49" s="6"/>
      <c r="O49" s="6"/>
      <c r="P49" s="10" t="n">
        <f aca="false">IF(OR(M49="",M49=0),"",IF(N49="",0,N49)/M49)</f>
        <v>0</v>
      </c>
      <c r="Q49" s="7" t="s">
        <v>59</v>
      </c>
      <c r="R49" s="11" t="n">
        <f aca="false">A49+5</f>
        <v>45227</v>
      </c>
      <c r="S49" s="5" t="n">
        <f aca="false">IF(R49&gt;=DATE(YEAR(R49)+1,1,4)-WEEKDAY(DATE(YEAR(R49)+1,1,4))+1,YEAR(R49)+1,IF(R49&lt;DATE(YEAR(R49),1,4)-WEEKDAY(DATE(YEAR(R49),1,4))+1,YEAR(R49)-1,YEAR(R49)))</f>
        <v>2023</v>
      </c>
      <c r="T49" s="5" t="n">
        <f aca="false">INT((R49-(DATE(S49,1,4)-WEEKDAY(DATE(S49,1,4))+1))/7)+1</f>
        <v>43</v>
      </c>
      <c r="U49" s="5" t="str">
        <f aca="false">IF(T49&gt;=36,S49&amp;"-"&amp;RIGHT(S49+1,2),(S49-1)&amp;"-"&amp;RIGHT(S49,2))</f>
        <v>2023-24</v>
      </c>
    </row>
    <row r="50" customFormat="false" ht="15" hidden="false" customHeight="false" outlineLevel="0" collapsed="false">
      <c r="A50" s="8" t="n">
        <v>45229</v>
      </c>
      <c r="B50" s="6" t="n">
        <v>13</v>
      </c>
      <c r="C50" s="6" t="n">
        <v>0</v>
      </c>
      <c r="D50" s="6" t="n">
        <v>1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5" t="n">
        <f aca="false">IF(AND(K50="",L50=""),"",SUM(K50:L50))</f>
        <v>0</v>
      </c>
      <c r="N50" s="6"/>
      <c r="O50" s="6"/>
      <c r="P50" s="10" t="str">
        <f aca="false">IF(OR(M50="",M50=0),"",IF(N50="",0,N50)/M50)</f>
        <v/>
      </c>
      <c r="Q50" s="7" t="s">
        <v>59</v>
      </c>
      <c r="R50" s="11" t="n">
        <f aca="false">A50+5</f>
        <v>45234</v>
      </c>
      <c r="S50" s="5" t="n">
        <f aca="false">IF(R50&gt;=DATE(YEAR(R50)+1,1,4)-WEEKDAY(DATE(YEAR(R50)+1,1,4))+1,YEAR(R50)+1,IF(R50&lt;DATE(YEAR(R50),1,4)-WEEKDAY(DATE(YEAR(R50),1,4))+1,YEAR(R50)-1,YEAR(R50)))</f>
        <v>2023</v>
      </c>
      <c r="T50" s="5" t="n">
        <f aca="false">INT((R50-(DATE(S50,1,4)-WEEKDAY(DATE(S50,1,4))+1))/7)+1</f>
        <v>44</v>
      </c>
      <c r="U50" s="5" t="str">
        <f aca="false">IF(T50&gt;=36,S50&amp;"-"&amp;RIGHT(S50+1,2),(S50-1)&amp;"-"&amp;RIGHT(S50,2))</f>
        <v>2023-24</v>
      </c>
    </row>
    <row r="51" customFormat="false" ht="15" hidden="false" customHeight="false" outlineLevel="0" collapsed="false">
      <c r="A51" s="8" t="n">
        <v>45236</v>
      </c>
      <c r="B51" s="6" t="n">
        <v>6</v>
      </c>
      <c r="C51" s="6" t="n">
        <v>0</v>
      </c>
      <c r="D51" s="6" t="n">
        <v>1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1</v>
      </c>
      <c r="J51" s="6" t="n">
        <v>1</v>
      </c>
      <c r="K51" s="6" t="n">
        <v>0</v>
      </c>
      <c r="L51" s="6" t="n">
        <v>0</v>
      </c>
      <c r="M51" s="5" t="n">
        <f aca="false">IF(AND(K51="",L51=""),"",SUM(K51:L51))</f>
        <v>0</v>
      </c>
      <c r="N51" s="6"/>
      <c r="O51" s="6"/>
      <c r="P51" s="10" t="str">
        <f aca="false">IF(OR(M51="",M51=0),"",IF(N51="",0,N51)/M51)</f>
        <v/>
      </c>
      <c r="Q51" s="7" t="s">
        <v>59</v>
      </c>
      <c r="R51" s="11" t="n">
        <f aca="false">A51+5</f>
        <v>45241</v>
      </c>
      <c r="S51" s="5" t="n">
        <f aca="false">IF(R51&gt;=DATE(YEAR(R51)+1,1,4)-WEEKDAY(DATE(YEAR(R51)+1,1,4))+1,YEAR(R51)+1,IF(R51&lt;DATE(YEAR(R51),1,4)-WEEKDAY(DATE(YEAR(R51),1,4))+1,YEAR(R51)-1,YEAR(R51)))</f>
        <v>2023</v>
      </c>
      <c r="T51" s="5" t="n">
        <f aca="false">INT((R51-(DATE(S51,1,4)-WEEKDAY(DATE(S51,1,4))+1))/7)+1</f>
        <v>45</v>
      </c>
      <c r="U51" s="5" t="str">
        <f aca="false">IF(T51&gt;=36,S51&amp;"-"&amp;RIGHT(S51+1,2),(S51-1)&amp;"-"&amp;RIGHT(S51,2))</f>
        <v>2023-24</v>
      </c>
    </row>
    <row r="52" customFormat="false" ht="15" hidden="false" customHeight="false" outlineLevel="0" collapsed="false">
      <c r="A52" s="8" t="n">
        <v>45243</v>
      </c>
      <c r="B52" s="6" t="n">
        <v>0</v>
      </c>
      <c r="C52" s="6" t="n">
        <v>4</v>
      </c>
      <c r="D52" s="6" t="n">
        <v>0</v>
      </c>
      <c r="E52" s="6" t="n">
        <v>0</v>
      </c>
      <c r="F52" s="6" t="n">
        <v>0</v>
      </c>
      <c r="G52" s="6" t="n">
        <v>4</v>
      </c>
      <c r="H52" s="6" t="n">
        <v>3</v>
      </c>
      <c r="I52" s="6" t="n">
        <v>1</v>
      </c>
      <c r="J52" s="6" t="n">
        <v>0</v>
      </c>
      <c r="K52" s="6" t="n">
        <v>4</v>
      </c>
      <c r="L52" s="6" t="n">
        <v>0</v>
      </c>
      <c r="M52" s="5" t="n">
        <f aca="false">IF(AND(K52="",L52=""),"",SUM(K52:L52))</f>
        <v>4</v>
      </c>
      <c r="N52" s="6"/>
      <c r="O52" s="6"/>
      <c r="P52" s="10" t="n">
        <f aca="false">IF(OR(M52="",M52=0),"",IF(N52="",0,N52)/M52)</f>
        <v>0</v>
      </c>
      <c r="Q52" s="7" t="s">
        <v>59</v>
      </c>
      <c r="R52" s="11" t="n">
        <f aca="false">A52+5</f>
        <v>45248</v>
      </c>
      <c r="S52" s="5" t="n">
        <f aca="false">IF(R52&gt;=DATE(YEAR(R52)+1,1,4)-WEEKDAY(DATE(YEAR(R52)+1,1,4))+1,YEAR(R52)+1,IF(R52&lt;DATE(YEAR(R52),1,4)-WEEKDAY(DATE(YEAR(R52),1,4))+1,YEAR(R52)-1,YEAR(R52)))</f>
        <v>2023</v>
      </c>
      <c r="T52" s="5" t="n">
        <f aca="false">INT((R52-(DATE(S52,1,4)-WEEKDAY(DATE(S52,1,4))+1))/7)+1</f>
        <v>46</v>
      </c>
      <c r="U52" s="5" t="str">
        <f aca="false">IF(T52&gt;=36,S52&amp;"-"&amp;RIGHT(S52+1,2),(S52-1)&amp;"-"&amp;RIGHT(S52,2))</f>
        <v>2023-24</v>
      </c>
    </row>
    <row r="53" customFormat="false" ht="15" hidden="false" customHeight="false" outlineLevel="0" collapsed="false">
      <c r="A53" s="8" t="n">
        <v>45250</v>
      </c>
      <c r="B53" s="6" t="n">
        <v>2</v>
      </c>
      <c r="C53" s="6" t="n">
        <v>2</v>
      </c>
      <c r="D53" s="6" t="n">
        <v>3</v>
      </c>
      <c r="E53" s="6" t="n">
        <v>0</v>
      </c>
      <c r="F53" s="6" t="n">
        <v>0</v>
      </c>
      <c r="G53" s="6" t="n">
        <v>3</v>
      </c>
      <c r="H53" s="6" t="n">
        <v>2</v>
      </c>
      <c r="I53" s="6" t="n">
        <v>6</v>
      </c>
      <c r="J53" s="6" t="n">
        <v>1</v>
      </c>
      <c r="K53" s="6" t="n">
        <v>3</v>
      </c>
      <c r="L53" s="6" t="n">
        <v>0</v>
      </c>
      <c r="M53" s="5" t="n">
        <f aca="false">IF(AND(K53="",L53=""),"",SUM(K53:L53))</f>
        <v>3</v>
      </c>
      <c r="N53" s="6"/>
      <c r="O53" s="6"/>
      <c r="P53" s="10" t="n">
        <f aca="false">IF(OR(M53="",M53=0),"",IF(N53="",0,N53)/M53)</f>
        <v>0</v>
      </c>
      <c r="Q53" s="7" t="s">
        <v>59</v>
      </c>
      <c r="R53" s="11" t="n">
        <f aca="false">A53+5</f>
        <v>45255</v>
      </c>
      <c r="S53" s="5" t="n">
        <f aca="false">IF(R53&gt;=DATE(YEAR(R53)+1,1,4)-WEEKDAY(DATE(YEAR(R53)+1,1,4))+1,YEAR(R53)+1,IF(R53&lt;DATE(YEAR(R53),1,4)-WEEKDAY(DATE(YEAR(R53),1,4))+1,YEAR(R53)-1,YEAR(R53)))</f>
        <v>2023</v>
      </c>
      <c r="T53" s="5" t="n">
        <f aca="false">INT((R53-(DATE(S53,1,4)-WEEKDAY(DATE(S53,1,4))+1))/7)+1</f>
        <v>47</v>
      </c>
      <c r="U53" s="5" t="str">
        <f aca="false">IF(T53&gt;=36,S53&amp;"-"&amp;RIGHT(S53+1,2),(S53-1)&amp;"-"&amp;RIGHT(S53,2))</f>
        <v>2023-24</v>
      </c>
    </row>
    <row r="54" customFormat="false" ht="15" hidden="false" customHeight="false" outlineLevel="0" collapsed="false">
      <c r="A54" s="8" t="n">
        <v>45257</v>
      </c>
      <c r="B54" s="6" t="n">
        <v>9</v>
      </c>
      <c r="C54" s="6" t="n">
        <v>4</v>
      </c>
      <c r="D54" s="6" t="n">
        <v>0</v>
      </c>
      <c r="E54" s="6" t="n">
        <v>0</v>
      </c>
      <c r="F54" s="6" t="n">
        <v>0</v>
      </c>
      <c r="G54" s="6" t="n">
        <v>4</v>
      </c>
      <c r="H54" s="6" t="n">
        <v>2</v>
      </c>
      <c r="I54" s="6" t="n">
        <v>1</v>
      </c>
      <c r="J54" s="6" t="n">
        <v>1</v>
      </c>
      <c r="K54" s="6" t="n">
        <v>4</v>
      </c>
      <c r="L54" s="6" t="n">
        <v>0</v>
      </c>
      <c r="M54" s="5" t="n">
        <f aca="false">IF(AND(K54="",L54=""),"",SUM(K54:L54))</f>
        <v>4</v>
      </c>
      <c r="N54" s="6"/>
      <c r="O54" s="6"/>
      <c r="P54" s="10" t="n">
        <f aca="false">IF(OR(M54="",M54=0),"",IF(N54="",0,N54)/M54)</f>
        <v>0</v>
      </c>
      <c r="Q54" s="7" t="s">
        <v>59</v>
      </c>
      <c r="R54" s="11" t="n">
        <f aca="false">A54+5</f>
        <v>45262</v>
      </c>
      <c r="S54" s="5" t="n">
        <f aca="false">IF(R54&gt;=DATE(YEAR(R54)+1,1,4)-WEEKDAY(DATE(YEAR(R54)+1,1,4))+1,YEAR(R54)+1,IF(R54&lt;DATE(YEAR(R54),1,4)-WEEKDAY(DATE(YEAR(R54),1,4))+1,YEAR(R54)-1,YEAR(R54)))</f>
        <v>2023</v>
      </c>
      <c r="T54" s="5" t="n">
        <f aca="false">INT((R54-(DATE(S54,1,4)-WEEKDAY(DATE(S54,1,4))+1))/7)+1</f>
        <v>48</v>
      </c>
      <c r="U54" s="5" t="str">
        <f aca="false">IF(T54&gt;=36,S54&amp;"-"&amp;RIGHT(S54+1,2),(S54-1)&amp;"-"&amp;RIGHT(S54,2))</f>
        <v>2023-24</v>
      </c>
    </row>
    <row r="55" customFormat="false" ht="15" hidden="false" customHeight="false" outlineLevel="0" collapsed="false">
      <c r="A55" s="8" t="n">
        <v>45264</v>
      </c>
      <c r="B55" s="6" t="n">
        <v>4</v>
      </c>
      <c r="C55" s="6" t="n">
        <v>1</v>
      </c>
      <c r="D55" s="6" t="n">
        <v>1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1</v>
      </c>
      <c r="J55" s="6" t="n">
        <v>1</v>
      </c>
      <c r="K55" s="6" t="n">
        <v>0</v>
      </c>
      <c r="L55" s="6" t="n">
        <v>0</v>
      </c>
      <c r="M55" s="5" t="n">
        <f aca="false">IF(AND(K55="",L55=""),"",SUM(K55:L55))</f>
        <v>0</v>
      </c>
      <c r="N55" s="6"/>
      <c r="O55" s="6"/>
      <c r="P55" s="10" t="str">
        <f aca="false">IF(OR(M55="",M55=0),"",IF(N55="",0,N55)/M55)</f>
        <v/>
      </c>
      <c r="Q55" s="7" t="s">
        <v>59</v>
      </c>
      <c r="R55" s="11" t="n">
        <f aca="false">A55+5</f>
        <v>45269</v>
      </c>
      <c r="S55" s="5" t="n">
        <f aca="false">IF(R55&gt;=DATE(YEAR(R55)+1,1,4)-WEEKDAY(DATE(YEAR(R55)+1,1,4))+1,YEAR(R55)+1,IF(R55&lt;DATE(YEAR(R55),1,4)-WEEKDAY(DATE(YEAR(R55),1,4))+1,YEAR(R55)-1,YEAR(R55)))</f>
        <v>2023</v>
      </c>
      <c r="T55" s="5" t="n">
        <f aca="false">INT((R55-(DATE(S55,1,4)-WEEKDAY(DATE(S55,1,4))+1))/7)+1</f>
        <v>49</v>
      </c>
      <c r="U55" s="5" t="str">
        <f aca="false">IF(T55&gt;=36,S55&amp;"-"&amp;RIGHT(S55+1,2),(S55-1)&amp;"-"&amp;RIGHT(S55,2))</f>
        <v>2023-24</v>
      </c>
    </row>
    <row r="56" customFormat="false" ht="15" hidden="false" customHeight="false" outlineLevel="0" collapsed="false">
      <c r="A56" s="8" t="n">
        <v>45271</v>
      </c>
      <c r="B56" s="6" t="n">
        <v>5</v>
      </c>
      <c r="C56" s="6" t="n">
        <v>2</v>
      </c>
      <c r="D56" s="6" t="n">
        <v>6</v>
      </c>
      <c r="E56" s="6" t="n">
        <v>0</v>
      </c>
      <c r="F56" s="6" t="n">
        <v>0</v>
      </c>
      <c r="G56" s="6" t="n">
        <v>7</v>
      </c>
      <c r="H56" s="6" t="n">
        <v>1</v>
      </c>
      <c r="I56" s="6" t="n">
        <v>7</v>
      </c>
      <c r="J56" s="6" t="n">
        <v>2</v>
      </c>
      <c r="K56" s="6" t="n">
        <v>7</v>
      </c>
      <c r="L56" s="6" t="n">
        <v>0</v>
      </c>
      <c r="M56" s="5" t="n">
        <f aca="false">IF(AND(K56="",L56=""),"",SUM(K56:L56))</f>
        <v>7</v>
      </c>
      <c r="N56" s="6"/>
      <c r="O56" s="6"/>
      <c r="P56" s="10" t="n">
        <f aca="false">IF(OR(M56="",M56=0),"",IF(N56="",0,N56)/M56)</f>
        <v>0</v>
      </c>
      <c r="Q56" s="7" t="s">
        <v>59</v>
      </c>
      <c r="R56" s="11" t="n">
        <f aca="false">A56+5</f>
        <v>45276</v>
      </c>
      <c r="S56" s="5" t="n">
        <f aca="false">IF(R56&gt;=DATE(YEAR(R56)+1,1,4)-WEEKDAY(DATE(YEAR(R56)+1,1,4))+1,YEAR(R56)+1,IF(R56&lt;DATE(YEAR(R56),1,4)-WEEKDAY(DATE(YEAR(R56),1,4))+1,YEAR(R56)-1,YEAR(R56)))</f>
        <v>2023</v>
      </c>
      <c r="T56" s="5" t="n">
        <f aca="false">INT((R56-(DATE(S56,1,4)-WEEKDAY(DATE(S56,1,4))+1))/7)+1</f>
        <v>50</v>
      </c>
      <c r="U56" s="5" t="str">
        <f aca="false">IF(T56&gt;=36,S56&amp;"-"&amp;RIGHT(S56+1,2),(S56-1)&amp;"-"&amp;RIGHT(S56,2))</f>
        <v>2023-24</v>
      </c>
    </row>
    <row r="57" customFormat="false" ht="15" hidden="false" customHeight="false" outlineLevel="0" collapsed="false">
      <c r="A57" s="8" t="n">
        <v>45278</v>
      </c>
      <c r="B57" s="6" t="n">
        <v>6</v>
      </c>
      <c r="C57" s="6" t="n">
        <v>19</v>
      </c>
      <c r="D57" s="6" t="n">
        <v>6</v>
      </c>
      <c r="E57" s="6" t="n">
        <v>0</v>
      </c>
      <c r="F57" s="6" t="n">
        <v>0</v>
      </c>
      <c r="G57" s="6" t="n">
        <v>31</v>
      </c>
      <c r="H57" s="6" t="n">
        <v>18</v>
      </c>
      <c r="I57" s="6" t="n">
        <v>6</v>
      </c>
      <c r="J57" s="6" t="n">
        <v>2</v>
      </c>
      <c r="K57" s="6" t="n">
        <v>30</v>
      </c>
      <c r="L57" s="6" t="n">
        <v>1</v>
      </c>
      <c r="M57" s="5" t="n">
        <f aca="false">IF(AND(K57="",L57=""),"",SUM(K57:L57))</f>
        <v>31</v>
      </c>
      <c r="N57" s="6"/>
      <c r="O57" s="6"/>
      <c r="P57" s="10" t="n">
        <f aca="false">IF(OR(M57="",M57=0),"",IF(N57="",0,N57)/M57)</f>
        <v>0</v>
      </c>
      <c r="Q57" s="7" t="s">
        <v>59</v>
      </c>
      <c r="R57" s="11" t="n">
        <f aca="false">A57+5</f>
        <v>45283</v>
      </c>
      <c r="S57" s="5" t="n">
        <f aca="false">IF(R57&gt;=DATE(YEAR(R57)+1,1,4)-WEEKDAY(DATE(YEAR(R57)+1,1,4))+1,YEAR(R57)+1,IF(R57&lt;DATE(YEAR(R57),1,4)-WEEKDAY(DATE(YEAR(R57),1,4))+1,YEAR(R57)-1,YEAR(R57)))</f>
        <v>2023</v>
      </c>
      <c r="T57" s="5" t="n">
        <f aca="false">INT((R57-(DATE(S57,1,4)-WEEKDAY(DATE(S57,1,4))+1))/7)+1</f>
        <v>51</v>
      </c>
      <c r="U57" s="5" t="str">
        <f aca="false">IF(T57&gt;=36,S57&amp;"-"&amp;RIGHT(S57+1,2),(S57-1)&amp;"-"&amp;RIGHT(S57,2))</f>
        <v>2023-24</v>
      </c>
    </row>
    <row r="58" customFormat="false" ht="15" hidden="false" customHeight="false" outlineLevel="0" collapsed="false">
      <c r="A58" s="8" t="n">
        <v>45285</v>
      </c>
      <c r="B58" s="6" t="n">
        <v>10</v>
      </c>
      <c r="C58" s="6" t="n">
        <v>13</v>
      </c>
      <c r="D58" s="6" t="n">
        <v>5</v>
      </c>
      <c r="E58" s="6" t="n">
        <v>2</v>
      </c>
      <c r="F58" s="6" t="n">
        <v>2</v>
      </c>
      <c r="G58" s="6" t="n">
        <v>17</v>
      </c>
      <c r="H58" s="6" t="n">
        <v>11</v>
      </c>
      <c r="I58" s="6" t="n">
        <v>8</v>
      </c>
      <c r="J58" s="6" t="n">
        <v>5</v>
      </c>
      <c r="K58" s="6" t="n">
        <v>16</v>
      </c>
      <c r="L58" s="6" t="n">
        <v>1</v>
      </c>
      <c r="M58" s="5" t="n">
        <f aca="false">IF(AND(K58="",L58=""),"",SUM(K58:L58))</f>
        <v>17</v>
      </c>
      <c r="N58" s="6"/>
      <c r="O58" s="6"/>
      <c r="P58" s="10" t="n">
        <f aca="false">IF(OR(M58="",M58=0),"",IF(N58="",0,N58)/M58)</f>
        <v>0</v>
      </c>
      <c r="Q58" s="7" t="s">
        <v>59</v>
      </c>
      <c r="R58" s="11" t="n">
        <f aca="false">A58+5</f>
        <v>45290</v>
      </c>
      <c r="S58" s="5" t="n">
        <f aca="false">IF(R58&gt;=DATE(YEAR(R58)+1,1,4)-WEEKDAY(DATE(YEAR(R58)+1,1,4))+1,YEAR(R58)+1,IF(R58&lt;DATE(YEAR(R58),1,4)-WEEKDAY(DATE(YEAR(R58),1,4))+1,YEAR(R58)-1,YEAR(R58)))</f>
        <v>2023</v>
      </c>
      <c r="T58" s="5" t="n">
        <f aca="false">INT((R58-(DATE(S58,1,4)-WEEKDAY(DATE(S58,1,4))+1))/7)+1</f>
        <v>52</v>
      </c>
      <c r="U58" s="5" t="str">
        <f aca="false">IF(T58&gt;=36,S58&amp;"-"&amp;RIGHT(S58+1,2),(S58-1)&amp;"-"&amp;RIGHT(S58,2))</f>
        <v>2023-24</v>
      </c>
    </row>
    <row r="59" customFormat="false" ht="15" hidden="false" customHeight="false" outlineLevel="0" collapsed="false">
      <c r="A59" s="8" t="n">
        <v>45292</v>
      </c>
      <c r="B59" s="6" t="n">
        <v>12</v>
      </c>
      <c r="C59" s="6" t="n">
        <v>24</v>
      </c>
      <c r="D59" s="6" t="n">
        <v>4</v>
      </c>
      <c r="E59" s="6" t="n">
        <v>1</v>
      </c>
      <c r="F59" s="6" t="n">
        <v>0</v>
      </c>
      <c r="G59" s="6" t="n">
        <v>22</v>
      </c>
      <c r="H59" s="6" t="n">
        <v>17</v>
      </c>
      <c r="I59" s="6" t="n">
        <v>5</v>
      </c>
      <c r="J59" s="6" t="n">
        <v>3</v>
      </c>
      <c r="K59" s="6" t="n">
        <v>20</v>
      </c>
      <c r="L59" s="6" t="n">
        <v>2</v>
      </c>
      <c r="M59" s="5" t="n">
        <f aca="false">IF(AND(K59="",L59=""),"",SUM(K59:L59))</f>
        <v>22</v>
      </c>
      <c r="N59" s="6"/>
      <c r="O59" s="6"/>
      <c r="P59" s="10" t="n">
        <f aca="false">IF(OR(M59="",M59=0),"",IF(N59="",0,N59)/M59)</f>
        <v>0</v>
      </c>
      <c r="Q59" s="7" t="s">
        <v>59</v>
      </c>
      <c r="R59" s="11" t="n">
        <f aca="false">A59+5</f>
        <v>45297</v>
      </c>
      <c r="S59" s="5" t="n">
        <f aca="false">IF(R59&gt;=DATE(YEAR(R59)+1,1,4)-WEEKDAY(DATE(YEAR(R59)+1,1,4))+1,YEAR(R59)+1,IF(R59&lt;DATE(YEAR(R59),1,4)-WEEKDAY(DATE(YEAR(R59),1,4))+1,YEAR(R59)-1,YEAR(R59)))</f>
        <v>2024</v>
      </c>
      <c r="T59" s="5" t="n">
        <f aca="false">INT((R59-(DATE(S59,1,4)-WEEKDAY(DATE(S59,1,4))+1))/7)+1</f>
        <v>1</v>
      </c>
      <c r="U59" s="5" t="str">
        <f aca="false">IF(T59&gt;=36,S59&amp;"-"&amp;RIGHT(S59+1,2),(S59-1)&amp;"-"&amp;RIGHT(S59,2))</f>
        <v>2023-24</v>
      </c>
    </row>
    <row r="60" customFormat="false" ht="15" hidden="false" customHeight="false" outlineLevel="0" collapsed="false">
      <c r="A60" s="8" t="n">
        <v>45299</v>
      </c>
      <c r="B60" s="6" t="n">
        <v>8</v>
      </c>
      <c r="C60" s="6" t="n">
        <v>7</v>
      </c>
      <c r="D60" s="6" t="n">
        <v>10</v>
      </c>
      <c r="E60" s="6" t="n">
        <v>0</v>
      </c>
      <c r="F60" s="6" t="n">
        <v>0</v>
      </c>
      <c r="G60" s="6" t="n">
        <v>10</v>
      </c>
      <c r="H60" s="6" t="n">
        <v>7</v>
      </c>
      <c r="I60" s="6" t="n">
        <v>10</v>
      </c>
      <c r="J60" s="6" t="n">
        <v>9</v>
      </c>
      <c r="K60" s="6" t="n">
        <v>10</v>
      </c>
      <c r="L60" s="6" t="n">
        <v>0</v>
      </c>
      <c r="M60" s="5" t="n">
        <f aca="false">IF(AND(K60="",L60=""),"",SUM(K60:L60))</f>
        <v>10</v>
      </c>
      <c r="N60" s="6"/>
      <c r="O60" s="6"/>
      <c r="P60" s="10" t="n">
        <f aca="false">IF(OR(M60="",M60=0),"",IF(N60="",0,N60)/M60)</f>
        <v>0</v>
      </c>
      <c r="Q60" s="7" t="s">
        <v>59</v>
      </c>
      <c r="R60" s="11" t="n">
        <f aca="false">A60+5</f>
        <v>45304</v>
      </c>
      <c r="S60" s="5" t="n">
        <f aca="false">IF(R60&gt;=DATE(YEAR(R60)+1,1,4)-WEEKDAY(DATE(YEAR(R60)+1,1,4))+1,YEAR(R60)+1,IF(R60&lt;DATE(YEAR(R60),1,4)-WEEKDAY(DATE(YEAR(R60),1,4))+1,YEAR(R60)-1,YEAR(R60)))</f>
        <v>2024</v>
      </c>
      <c r="T60" s="5" t="n">
        <f aca="false">INT((R60-(DATE(S60,1,4)-WEEKDAY(DATE(S60,1,4))+1))/7)+1</f>
        <v>2</v>
      </c>
      <c r="U60" s="5" t="str">
        <f aca="false">IF(T60&gt;=36,S60&amp;"-"&amp;RIGHT(S60+1,2),(S60-1)&amp;"-"&amp;RIGHT(S60,2))</f>
        <v>2023-24</v>
      </c>
    </row>
    <row r="61" customFormat="false" ht="15" hidden="false" customHeight="false" outlineLevel="0" collapsed="false">
      <c r="A61" s="8" t="n">
        <v>45306</v>
      </c>
      <c r="B61" s="6" t="n">
        <v>5</v>
      </c>
      <c r="C61" s="6" t="n">
        <v>13</v>
      </c>
      <c r="D61" s="6" t="n">
        <v>10</v>
      </c>
      <c r="E61" s="6" t="n">
        <v>0</v>
      </c>
      <c r="F61" s="6" t="n">
        <v>0</v>
      </c>
      <c r="G61" s="6" t="n">
        <v>12</v>
      </c>
      <c r="H61" s="6" t="n">
        <v>12</v>
      </c>
      <c r="I61" s="6" t="n">
        <v>10</v>
      </c>
      <c r="J61" s="6" t="n">
        <v>9</v>
      </c>
      <c r="K61" s="6" t="n">
        <v>10</v>
      </c>
      <c r="L61" s="6" t="n">
        <v>2</v>
      </c>
      <c r="M61" s="5" t="n">
        <f aca="false">IF(AND(K61="",L61=""),"",SUM(K61:L61))</f>
        <v>12</v>
      </c>
      <c r="N61" s="6"/>
      <c r="O61" s="6"/>
      <c r="P61" s="10" t="n">
        <f aca="false">IF(OR(M61="",M61=0),"",IF(N61="",0,N61)/M61)</f>
        <v>0</v>
      </c>
      <c r="Q61" s="7" t="s">
        <v>59</v>
      </c>
      <c r="R61" s="11" t="n">
        <f aca="false">A61+5</f>
        <v>45311</v>
      </c>
      <c r="S61" s="5" t="n">
        <f aca="false">IF(R61&gt;=DATE(YEAR(R61)+1,1,4)-WEEKDAY(DATE(YEAR(R61)+1,1,4))+1,YEAR(R61)+1,IF(R61&lt;DATE(YEAR(R61),1,4)-WEEKDAY(DATE(YEAR(R61),1,4))+1,YEAR(R61)-1,YEAR(R61)))</f>
        <v>2024</v>
      </c>
      <c r="T61" s="5" t="n">
        <f aca="false">INT((R61-(DATE(S61,1,4)-WEEKDAY(DATE(S61,1,4))+1))/7)+1</f>
        <v>3</v>
      </c>
      <c r="U61" s="5" t="str">
        <f aca="false">IF(T61&gt;=36,S61&amp;"-"&amp;RIGHT(S61+1,2),(S61-1)&amp;"-"&amp;RIGHT(S61,2))</f>
        <v>2023-24</v>
      </c>
    </row>
    <row r="62" customFormat="false" ht="15" hidden="false" customHeight="false" outlineLevel="0" collapsed="false">
      <c r="A62" s="8" t="n">
        <v>45313</v>
      </c>
      <c r="B62" s="6" t="n">
        <v>5</v>
      </c>
      <c r="C62" s="6" t="n">
        <v>6</v>
      </c>
      <c r="D62" s="6" t="n">
        <v>5</v>
      </c>
      <c r="E62" s="6" t="n">
        <v>0</v>
      </c>
      <c r="F62" s="6" t="n">
        <v>0</v>
      </c>
      <c r="G62" s="6" t="n">
        <v>8</v>
      </c>
      <c r="H62" s="6" t="n">
        <v>7</v>
      </c>
      <c r="I62" s="6" t="n">
        <v>5</v>
      </c>
      <c r="J62" s="6" t="n">
        <v>4</v>
      </c>
      <c r="K62" s="6" t="n">
        <v>8</v>
      </c>
      <c r="L62" s="6" t="n">
        <v>0</v>
      </c>
      <c r="M62" s="5" t="n">
        <f aca="false">IF(AND(K62="",L62=""),"",SUM(K62:L62))</f>
        <v>8</v>
      </c>
      <c r="N62" s="6"/>
      <c r="O62" s="6"/>
      <c r="P62" s="10" t="n">
        <f aca="false">IF(OR(M62="",M62=0),"",IF(N62="",0,N62)/M62)</f>
        <v>0</v>
      </c>
      <c r="Q62" s="7" t="s">
        <v>59</v>
      </c>
      <c r="R62" s="11" t="n">
        <f aca="false">A62+5</f>
        <v>45318</v>
      </c>
      <c r="S62" s="5" t="n">
        <f aca="false">IF(R62&gt;=DATE(YEAR(R62)+1,1,4)-WEEKDAY(DATE(YEAR(R62)+1,1,4))+1,YEAR(R62)+1,IF(R62&lt;DATE(YEAR(R62),1,4)-WEEKDAY(DATE(YEAR(R62),1,4))+1,YEAR(R62)-1,YEAR(R62)))</f>
        <v>2024</v>
      </c>
      <c r="T62" s="5" t="n">
        <f aca="false">INT((R62-(DATE(S62,1,4)-WEEKDAY(DATE(S62,1,4))+1))/7)+1</f>
        <v>4</v>
      </c>
      <c r="U62" s="5" t="str">
        <f aca="false">IF(T62&gt;=36,S62&amp;"-"&amp;RIGHT(S62+1,2),(S62-1)&amp;"-"&amp;RIGHT(S62,2))</f>
        <v>2023-24</v>
      </c>
    </row>
    <row r="63" customFormat="false" ht="15" hidden="false" customHeight="false" outlineLevel="0" collapsed="false">
      <c r="A63" s="8" t="n">
        <v>45320</v>
      </c>
      <c r="B63" s="6" t="n">
        <v>5</v>
      </c>
      <c r="C63" s="6" t="n">
        <v>12</v>
      </c>
      <c r="D63" s="6" t="n">
        <v>4</v>
      </c>
      <c r="E63" s="6" t="n">
        <v>0</v>
      </c>
      <c r="F63" s="6" t="n">
        <v>0</v>
      </c>
      <c r="G63" s="6" t="n">
        <v>12</v>
      </c>
      <c r="H63" s="6" t="n">
        <v>12</v>
      </c>
      <c r="I63" s="6" t="n">
        <v>5</v>
      </c>
      <c r="J63" s="6" t="n">
        <v>4</v>
      </c>
      <c r="K63" s="6" t="n">
        <v>10</v>
      </c>
      <c r="L63" s="6" t="n">
        <v>2</v>
      </c>
      <c r="M63" s="5" t="n">
        <f aca="false">IF(AND(K63="",L63=""),"",SUM(K63:L63))</f>
        <v>12</v>
      </c>
      <c r="N63" s="6"/>
      <c r="O63" s="6"/>
      <c r="P63" s="10" t="n">
        <f aca="false">IF(OR(M63="",M63=0),"",IF(N63="",0,N63)/M63)</f>
        <v>0</v>
      </c>
      <c r="Q63" s="7" t="s">
        <v>59</v>
      </c>
      <c r="R63" s="11" t="n">
        <f aca="false">A63+5</f>
        <v>45325</v>
      </c>
      <c r="S63" s="5" t="n">
        <f aca="false">IF(R63&gt;=DATE(YEAR(R63)+1,1,4)-WEEKDAY(DATE(YEAR(R63)+1,1,4))+1,YEAR(R63)+1,IF(R63&lt;DATE(YEAR(R63),1,4)-WEEKDAY(DATE(YEAR(R63),1,4))+1,YEAR(R63)-1,YEAR(R63)))</f>
        <v>2024</v>
      </c>
      <c r="T63" s="5" t="n">
        <f aca="false">INT((R63-(DATE(S63,1,4)-WEEKDAY(DATE(S63,1,4))+1))/7)+1</f>
        <v>5</v>
      </c>
      <c r="U63" s="5" t="str">
        <f aca="false">IF(T63&gt;=36,S63&amp;"-"&amp;RIGHT(S63+1,2),(S63-1)&amp;"-"&amp;RIGHT(S63,2))</f>
        <v>2023-24</v>
      </c>
    </row>
    <row r="64" customFormat="false" ht="15" hidden="false" customHeight="false" outlineLevel="0" collapsed="false">
      <c r="A64" s="8" t="n">
        <v>45327</v>
      </c>
      <c r="B64" s="6" t="n">
        <v>1</v>
      </c>
      <c r="C64" s="6" t="n">
        <v>8</v>
      </c>
      <c r="D64" s="6" t="n">
        <v>5</v>
      </c>
      <c r="E64" s="6" t="n">
        <v>0</v>
      </c>
      <c r="F64" s="6" t="n">
        <v>0</v>
      </c>
      <c r="G64" s="6" t="n">
        <v>10</v>
      </c>
      <c r="H64" s="6" t="n">
        <v>8</v>
      </c>
      <c r="I64" s="6" t="n">
        <v>4</v>
      </c>
      <c r="J64" s="6" t="n">
        <v>4</v>
      </c>
      <c r="K64" s="6" t="n">
        <v>5</v>
      </c>
      <c r="L64" s="6" t="n">
        <v>5</v>
      </c>
      <c r="M64" s="5" t="n">
        <f aca="false">IF(AND(K64="",L64=""),"",SUM(K64:L64))</f>
        <v>10</v>
      </c>
      <c r="N64" s="6"/>
      <c r="O64" s="6"/>
      <c r="P64" s="10" t="n">
        <f aca="false">IF(OR(M64="",M64=0),"",IF(N64="",0,N64)/M64)</f>
        <v>0</v>
      </c>
      <c r="Q64" s="7" t="s">
        <v>59</v>
      </c>
      <c r="R64" s="11" t="n">
        <f aca="false">A64+5</f>
        <v>45332</v>
      </c>
      <c r="S64" s="5" t="n">
        <f aca="false">IF(R64&gt;=DATE(YEAR(R64)+1,1,4)-WEEKDAY(DATE(YEAR(R64)+1,1,4))+1,YEAR(R64)+1,IF(R64&lt;DATE(YEAR(R64),1,4)-WEEKDAY(DATE(YEAR(R64),1,4))+1,YEAR(R64)-1,YEAR(R64)))</f>
        <v>2024</v>
      </c>
      <c r="T64" s="5" t="n">
        <f aca="false">INT((R64-(DATE(S64,1,4)-WEEKDAY(DATE(S64,1,4))+1))/7)+1</f>
        <v>6</v>
      </c>
      <c r="U64" s="5" t="str">
        <f aca="false">IF(T64&gt;=36,S64&amp;"-"&amp;RIGHT(S64+1,2),(S64-1)&amp;"-"&amp;RIGHT(S64,2))</f>
        <v>2023-24</v>
      </c>
    </row>
    <row r="65" customFormat="false" ht="15" hidden="false" customHeight="false" outlineLevel="0" collapsed="false">
      <c r="A65" s="8" t="n">
        <v>45334</v>
      </c>
      <c r="B65" s="6" t="n">
        <v>5</v>
      </c>
      <c r="C65" s="6" t="n">
        <v>6</v>
      </c>
      <c r="D65" s="6" t="n">
        <v>1</v>
      </c>
      <c r="E65" s="6" t="n">
        <v>0</v>
      </c>
      <c r="F65" s="6" t="n">
        <v>0</v>
      </c>
      <c r="G65" s="6" t="n">
        <v>9</v>
      </c>
      <c r="H65" s="6" t="n">
        <v>6</v>
      </c>
      <c r="I65" s="6" t="n">
        <v>1</v>
      </c>
      <c r="J65" s="6" t="n">
        <v>1</v>
      </c>
      <c r="K65" s="6" t="n">
        <v>6</v>
      </c>
      <c r="L65" s="6" t="n">
        <v>3</v>
      </c>
      <c r="M65" s="5" t="n">
        <f aca="false">IF(AND(K65="",L65=""),"",SUM(K65:L65))</f>
        <v>9</v>
      </c>
      <c r="N65" s="6"/>
      <c r="O65" s="6"/>
      <c r="P65" s="10" t="n">
        <f aca="false">IF(OR(M65="",M65=0),"",IF(N65="",0,N65)/M65)</f>
        <v>0</v>
      </c>
      <c r="Q65" s="7" t="s">
        <v>59</v>
      </c>
      <c r="R65" s="11" t="n">
        <f aca="false">A65+5</f>
        <v>45339</v>
      </c>
      <c r="S65" s="5" t="n">
        <f aca="false">IF(R65&gt;=DATE(YEAR(R65)+1,1,4)-WEEKDAY(DATE(YEAR(R65)+1,1,4))+1,YEAR(R65)+1,IF(R65&lt;DATE(YEAR(R65),1,4)-WEEKDAY(DATE(YEAR(R65),1,4))+1,YEAR(R65)-1,YEAR(R65)))</f>
        <v>2024</v>
      </c>
      <c r="T65" s="5" t="n">
        <f aca="false">INT((R65-(DATE(S65,1,4)-WEEKDAY(DATE(S65,1,4))+1))/7)+1</f>
        <v>7</v>
      </c>
      <c r="U65" s="5" t="str">
        <f aca="false">IF(T65&gt;=36,S65&amp;"-"&amp;RIGHT(S65+1,2),(S65-1)&amp;"-"&amp;RIGHT(S65,2))</f>
        <v>2023-24</v>
      </c>
    </row>
    <row r="66" customFormat="false" ht="15" hidden="false" customHeight="false" outlineLevel="0" collapsed="false">
      <c r="A66" s="8" t="n">
        <v>45341</v>
      </c>
      <c r="B66" s="6" t="n">
        <v>3</v>
      </c>
      <c r="C66" s="6" t="n">
        <v>9</v>
      </c>
      <c r="D66" s="6" t="n">
        <v>1</v>
      </c>
      <c r="E66" s="6" t="n">
        <v>0</v>
      </c>
      <c r="F66" s="6" t="n">
        <v>0</v>
      </c>
      <c r="G66" s="6" t="n">
        <v>10</v>
      </c>
      <c r="H66" s="6" t="n">
        <v>8</v>
      </c>
      <c r="I66" s="6" t="n">
        <v>2</v>
      </c>
      <c r="J66" s="6" t="n">
        <v>1</v>
      </c>
      <c r="K66" s="6" t="n">
        <v>8</v>
      </c>
      <c r="L66" s="6" t="n">
        <v>2</v>
      </c>
      <c r="M66" s="5" t="n">
        <f aca="false">IF(AND(K66="",L66=""),"",SUM(K66:L66))</f>
        <v>10</v>
      </c>
      <c r="N66" s="6"/>
      <c r="O66" s="6"/>
      <c r="P66" s="10" t="n">
        <f aca="false">IF(OR(M66="",M66=0),"",IF(N66="",0,N66)/M66)</f>
        <v>0</v>
      </c>
      <c r="Q66" s="7" t="s">
        <v>59</v>
      </c>
      <c r="R66" s="11" t="n">
        <f aca="false">A66+5</f>
        <v>45346</v>
      </c>
      <c r="S66" s="5" t="n">
        <f aca="false">IF(R66&gt;=DATE(YEAR(R66)+1,1,4)-WEEKDAY(DATE(YEAR(R66)+1,1,4))+1,YEAR(R66)+1,IF(R66&lt;DATE(YEAR(R66),1,4)-WEEKDAY(DATE(YEAR(R66),1,4))+1,YEAR(R66)-1,YEAR(R66)))</f>
        <v>2024</v>
      </c>
      <c r="T66" s="5" t="n">
        <f aca="false">INT((R66-(DATE(S66,1,4)-WEEKDAY(DATE(S66,1,4))+1))/7)+1</f>
        <v>8</v>
      </c>
      <c r="U66" s="5" t="str">
        <f aca="false">IF(T66&gt;=36,S66&amp;"-"&amp;RIGHT(S66+1,2),(S66-1)&amp;"-"&amp;RIGHT(S66,2))</f>
        <v>2023-24</v>
      </c>
    </row>
    <row r="67" customFormat="false" ht="15" hidden="false" customHeight="false" outlineLevel="0" collapsed="false">
      <c r="A67" s="8" t="n">
        <v>45348</v>
      </c>
      <c r="B67" s="6" t="n">
        <v>2</v>
      </c>
      <c r="C67" s="6" t="n">
        <v>5</v>
      </c>
      <c r="D67" s="6" t="n">
        <v>2</v>
      </c>
      <c r="E67" s="6" t="n">
        <v>2</v>
      </c>
      <c r="F67" s="6" t="n">
        <v>2</v>
      </c>
      <c r="G67" s="6" t="n">
        <v>6</v>
      </c>
      <c r="H67" s="6" t="n">
        <v>4</v>
      </c>
      <c r="I67" s="6" t="n">
        <v>2</v>
      </c>
      <c r="J67" s="6" t="n">
        <v>2</v>
      </c>
      <c r="K67" s="6" t="n">
        <v>4</v>
      </c>
      <c r="L67" s="6" t="n">
        <v>2</v>
      </c>
      <c r="M67" s="5" t="n">
        <f aca="false">IF(AND(K67="",L67=""),"",SUM(K67:L67))</f>
        <v>6</v>
      </c>
      <c r="N67" s="6"/>
      <c r="O67" s="6"/>
      <c r="P67" s="10" t="n">
        <f aca="false">IF(OR(M67="",M67=0),"",IF(N67="",0,N67)/M67)</f>
        <v>0</v>
      </c>
      <c r="Q67" s="7" t="s">
        <v>59</v>
      </c>
      <c r="R67" s="11" t="n">
        <f aca="false">A67+5</f>
        <v>45353</v>
      </c>
      <c r="S67" s="5" t="n">
        <f aca="false">IF(R67&gt;=DATE(YEAR(R67)+1,1,4)-WEEKDAY(DATE(YEAR(R67)+1,1,4))+1,YEAR(R67)+1,IF(R67&lt;DATE(YEAR(R67),1,4)-WEEKDAY(DATE(YEAR(R67),1,4))+1,YEAR(R67)-1,YEAR(R67)))</f>
        <v>2024</v>
      </c>
      <c r="T67" s="5" t="n">
        <f aca="false">INT((R67-(DATE(S67,1,4)-WEEKDAY(DATE(S67,1,4))+1))/7)+1</f>
        <v>9</v>
      </c>
      <c r="U67" s="5" t="str">
        <f aca="false">IF(T67&gt;=36,S67&amp;"-"&amp;RIGHT(S67+1,2),(S67-1)&amp;"-"&amp;RIGHT(S67,2))</f>
        <v>2023-24</v>
      </c>
    </row>
    <row r="68" customFormat="false" ht="15" hidden="false" customHeight="false" outlineLevel="0" collapsed="false">
      <c r="A68" s="8" t="n">
        <v>45355</v>
      </c>
      <c r="B68" s="6" t="n">
        <v>0</v>
      </c>
      <c r="C68" s="6" t="n">
        <v>1</v>
      </c>
      <c r="D68" s="6" t="n">
        <v>0</v>
      </c>
      <c r="E68" s="6" t="n">
        <v>1</v>
      </c>
      <c r="F68" s="6" t="n">
        <v>1</v>
      </c>
      <c r="G68" s="6" t="n">
        <v>1</v>
      </c>
      <c r="H68" s="6" t="n">
        <v>1</v>
      </c>
      <c r="I68" s="6" t="n">
        <v>1</v>
      </c>
      <c r="J68" s="6" t="n">
        <v>0</v>
      </c>
      <c r="K68" s="6" t="n">
        <v>0</v>
      </c>
      <c r="L68" s="6" t="n">
        <v>1</v>
      </c>
      <c r="M68" s="5" t="n">
        <f aca="false">IF(AND(K68="",L68=""),"",SUM(K68:L68))</f>
        <v>1</v>
      </c>
      <c r="N68" s="6"/>
      <c r="O68" s="6"/>
      <c r="P68" s="10" t="n">
        <f aca="false">IF(OR(M68="",M68=0),"",IF(N68="",0,N68)/M68)</f>
        <v>0</v>
      </c>
      <c r="Q68" s="7" t="s">
        <v>59</v>
      </c>
      <c r="R68" s="11" t="n">
        <f aca="false">A68+5</f>
        <v>45360</v>
      </c>
      <c r="S68" s="5" t="n">
        <f aca="false">IF(R68&gt;=DATE(YEAR(R68)+1,1,4)-WEEKDAY(DATE(YEAR(R68)+1,1,4))+1,YEAR(R68)+1,IF(R68&lt;DATE(YEAR(R68),1,4)-WEEKDAY(DATE(YEAR(R68),1,4))+1,YEAR(R68)-1,YEAR(R68)))</f>
        <v>2024</v>
      </c>
      <c r="T68" s="5" t="n">
        <f aca="false">INT((R68-(DATE(S68,1,4)-WEEKDAY(DATE(S68,1,4))+1))/7)+1</f>
        <v>10</v>
      </c>
      <c r="U68" s="5" t="str">
        <f aca="false">IF(T68&gt;=36,S68&amp;"-"&amp;RIGHT(S68+1,2),(S68-1)&amp;"-"&amp;RIGHT(S68,2))</f>
        <v>2023-24</v>
      </c>
    </row>
    <row r="69" customFormat="false" ht="15" hidden="false" customHeight="false" outlineLevel="0" collapsed="false">
      <c r="A69" s="8" t="n">
        <v>45362</v>
      </c>
      <c r="B69" s="6" t="n">
        <v>1</v>
      </c>
      <c r="C69" s="6" t="n">
        <v>6</v>
      </c>
      <c r="D69" s="6" t="n">
        <v>1</v>
      </c>
      <c r="E69" s="6" t="n">
        <v>1</v>
      </c>
      <c r="F69" s="6" t="n">
        <v>1</v>
      </c>
      <c r="G69" s="6" t="n">
        <v>5</v>
      </c>
      <c r="H69" s="6" t="n">
        <v>5</v>
      </c>
      <c r="I69" s="6" t="n">
        <v>0</v>
      </c>
      <c r="J69" s="6" t="n">
        <v>0</v>
      </c>
      <c r="K69" s="6" t="n">
        <v>3</v>
      </c>
      <c r="L69" s="6" t="n">
        <v>2</v>
      </c>
      <c r="M69" s="5" t="n">
        <f aca="false">IF(AND(K69="",L69=""),"",SUM(K69:L69))</f>
        <v>5</v>
      </c>
      <c r="N69" s="6"/>
      <c r="O69" s="6"/>
      <c r="P69" s="10" t="n">
        <f aca="false">IF(OR(M69="",M69=0),"",IF(N69="",0,N69)/M69)</f>
        <v>0</v>
      </c>
      <c r="Q69" s="7" t="s">
        <v>59</v>
      </c>
      <c r="R69" s="11" t="n">
        <f aca="false">A69+5</f>
        <v>45367</v>
      </c>
      <c r="S69" s="5" t="n">
        <f aca="false">IF(R69&gt;=DATE(YEAR(R69)+1,1,4)-WEEKDAY(DATE(YEAR(R69)+1,1,4))+1,YEAR(R69)+1,IF(R69&lt;DATE(YEAR(R69),1,4)-WEEKDAY(DATE(YEAR(R69),1,4))+1,YEAR(R69)-1,YEAR(R69)))</f>
        <v>2024</v>
      </c>
      <c r="T69" s="5" t="n">
        <f aca="false">INT((R69-(DATE(S69,1,4)-WEEKDAY(DATE(S69,1,4))+1))/7)+1</f>
        <v>11</v>
      </c>
      <c r="U69" s="5" t="str">
        <f aca="false">IF(T69&gt;=36,S69&amp;"-"&amp;RIGHT(S69+1,2),(S69-1)&amp;"-"&amp;RIGHT(S69,2))</f>
        <v>2023-24</v>
      </c>
    </row>
    <row r="70" customFormat="false" ht="15" hidden="false" customHeight="false" outlineLevel="0" collapsed="false">
      <c r="A70" s="8" t="n">
        <v>45369</v>
      </c>
      <c r="B70" s="6" t="n">
        <v>1</v>
      </c>
      <c r="C70" s="6" t="n">
        <v>2</v>
      </c>
      <c r="D70" s="6" t="n">
        <v>2</v>
      </c>
      <c r="E70" s="6" t="n">
        <v>1</v>
      </c>
      <c r="F70" s="6" t="n">
        <v>0</v>
      </c>
      <c r="G70" s="6" t="n">
        <v>2</v>
      </c>
      <c r="H70" s="6" t="n">
        <v>1</v>
      </c>
      <c r="I70" s="6" t="n">
        <v>2</v>
      </c>
      <c r="J70" s="6" t="n">
        <v>2</v>
      </c>
      <c r="K70" s="6" t="n">
        <v>1</v>
      </c>
      <c r="L70" s="6" t="n">
        <v>1</v>
      </c>
      <c r="M70" s="5" t="n">
        <f aca="false">IF(AND(K70="",L70=""),"",SUM(K70:L70))</f>
        <v>2</v>
      </c>
      <c r="N70" s="6"/>
      <c r="O70" s="6"/>
      <c r="P70" s="10" t="n">
        <f aca="false">IF(OR(M70="",M70=0),"",IF(N70="",0,N70)/M70)</f>
        <v>0</v>
      </c>
      <c r="Q70" s="7" t="s">
        <v>59</v>
      </c>
      <c r="R70" s="11" t="n">
        <f aca="false">A70+5</f>
        <v>45374</v>
      </c>
      <c r="S70" s="5" t="n">
        <f aca="false">IF(R70&gt;=DATE(YEAR(R70)+1,1,4)-WEEKDAY(DATE(YEAR(R70)+1,1,4))+1,YEAR(R70)+1,IF(R70&lt;DATE(YEAR(R70),1,4)-WEEKDAY(DATE(YEAR(R70),1,4))+1,YEAR(R70)-1,YEAR(R70)))</f>
        <v>2024</v>
      </c>
      <c r="T70" s="5" t="n">
        <f aca="false">INT((R70-(DATE(S70,1,4)-WEEKDAY(DATE(S70,1,4))+1))/7)+1</f>
        <v>12</v>
      </c>
      <c r="U70" s="5" t="str">
        <f aca="false">IF(T70&gt;=36,S70&amp;"-"&amp;RIGHT(S70+1,2),(S70-1)&amp;"-"&amp;RIGHT(S70,2))</f>
        <v>2023-24</v>
      </c>
    </row>
    <row r="71" customFormat="false" ht="15" hidden="false" customHeight="false" outlineLevel="0" collapsed="false">
      <c r="A71" s="8" t="n">
        <v>45376</v>
      </c>
      <c r="B71" s="6" t="n">
        <v>0</v>
      </c>
      <c r="C71" s="6" t="n">
        <v>2</v>
      </c>
      <c r="D71" s="6" t="n">
        <v>1</v>
      </c>
      <c r="E71" s="6" t="n">
        <v>0</v>
      </c>
      <c r="F71" s="6" t="n">
        <v>0</v>
      </c>
      <c r="G71" s="6" t="n">
        <v>3</v>
      </c>
      <c r="H71" s="6" t="n">
        <v>0</v>
      </c>
      <c r="I71" s="6" t="n">
        <v>1</v>
      </c>
      <c r="J71" s="6" t="n">
        <v>1</v>
      </c>
      <c r="K71" s="6" t="n">
        <v>2</v>
      </c>
      <c r="L71" s="6" t="n">
        <v>1</v>
      </c>
      <c r="M71" s="5" t="n">
        <f aca="false">IF(AND(K71="",L71=""),"",SUM(K71:L71))</f>
        <v>3</v>
      </c>
      <c r="N71" s="6"/>
      <c r="O71" s="6"/>
      <c r="P71" s="10" t="n">
        <f aca="false">IF(OR(M71="",M71=0),"",IF(N71="",0,N71)/M71)</f>
        <v>0</v>
      </c>
      <c r="Q71" s="7" t="s">
        <v>59</v>
      </c>
      <c r="R71" s="11" t="n">
        <f aca="false">A71+5</f>
        <v>45381</v>
      </c>
      <c r="S71" s="5" t="n">
        <f aca="false">IF(R71&gt;=DATE(YEAR(R71)+1,1,4)-WEEKDAY(DATE(YEAR(R71)+1,1,4))+1,YEAR(R71)+1,IF(R71&lt;DATE(YEAR(R71),1,4)-WEEKDAY(DATE(YEAR(R71),1,4))+1,YEAR(R71)-1,YEAR(R71)))</f>
        <v>2024</v>
      </c>
      <c r="T71" s="5" t="n">
        <f aca="false">INT((R71-(DATE(S71,1,4)-WEEKDAY(DATE(S71,1,4))+1))/7)+1</f>
        <v>13</v>
      </c>
      <c r="U71" s="5" t="str">
        <f aca="false">IF(T71&gt;=36,S71&amp;"-"&amp;RIGHT(S71+1,2),(S71-1)&amp;"-"&amp;RIGHT(S71,2))</f>
        <v>2023-24</v>
      </c>
    </row>
    <row r="72" customFormat="false" ht="15" hidden="false" customHeight="false" outlineLevel="0" collapsed="false">
      <c r="A72" s="8" t="n">
        <v>45383</v>
      </c>
      <c r="B72" s="6" t="n">
        <v>1</v>
      </c>
      <c r="C72" s="6" t="n">
        <v>5</v>
      </c>
      <c r="D72" s="6" t="n">
        <v>1</v>
      </c>
      <c r="E72" s="6"/>
      <c r="F72" s="6"/>
      <c r="G72" s="6"/>
      <c r="H72" s="6"/>
      <c r="I72" s="6"/>
      <c r="J72" s="6"/>
      <c r="K72" s="6"/>
      <c r="L72" s="6"/>
      <c r="M72" s="5" t="str">
        <f aca="false">IF(AND(K72="",L72=""),"",SUM(K72:L72))</f>
        <v/>
      </c>
      <c r="N72" s="6"/>
      <c r="O72" s="6"/>
      <c r="P72" s="10" t="str">
        <f aca="false">IF(OR(M72="",M72=0),"",IF(N72="",0,N72)/M72)</f>
        <v/>
      </c>
      <c r="Q72" s="7"/>
      <c r="R72" s="11" t="n">
        <f aca="false">A72+5</f>
        <v>45388</v>
      </c>
      <c r="S72" s="5" t="n">
        <f aca="false">IF(R72&gt;=DATE(YEAR(R72)+1,1,4)-WEEKDAY(DATE(YEAR(R72)+1,1,4))+1,YEAR(R72)+1,IF(R72&lt;DATE(YEAR(R72),1,4)-WEEKDAY(DATE(YEAR(R72),1,4))+1,YEAR(R72)-1,YEAR(R72)))</f>
        <v>2024</v>
      </c>
      <c r="T72" s="5" t="n">
        <f aca="false">INT((R72-(DATE(S72,1,4)-WEEKDAY(DATE(S72,1,4))+1))/7)+1</f>
        <v>14</v>
      </c>
      <c r="U72" s="5" t="str">
        <f aca="false">IF(T72&gt;=36,S72&amp;"-"&amp;RIGHT(S72+1,2),(S72-1)&amp;"-"&amp;RIGHT(S72,2))</f>
        <v>2023-24</v>
      </c>
    </row>
    <row r="73" customFormat="false" ht="15" hidden="false" customHeight="false" outlineLevel="0" collapsed="false">
      <c r="A73" s="8" t="n">
        <v>45390</v>
      </c>
      <c r="B73" s="6" t="n">
        <v>1</v>
      </c>
      <c r="C73" s="6" t="n">
        <v>5</v>
      </c>
      <c r="D73" s="6" t="n">
        <v>0</v>
      </c>
      <c r="E73" s="6"/>
      <c r="F73" s="6"/>
      <c r="G73" s="6"/>
      <c r="H73" s="6"/>
      <c r="I73" s="6"/>
      <c r="J73" s="6"/>
      <c r="K73" s="6"/>
      <c r="L73" s="6"/>
      <c r="M73" s="5" t="str">
        <f aca="false">IF(AND(K73="",L73=""),"",SUM(K73:L73))</f>
        <v/>
      </c>
      <c r="N73" s="6"/>
      <c r="O73" s="6"/>
      <c r="P73" s="10" t="str">
        <f aca="false">IF(OR(M73="",M73=0),"",IF(N73="",0,N73)/M73)</f>
        <v/>
      </c>
      <c r="Q73" s="7"/>
      <c r="R73" s="11" t="n">
        <f aca="false">A73+5</f>
        <v>45395</v>
      </c>
      <c r="S73" s="5" t="n">
        <f aca="false">IF(R73&gt;=DATE(YEAR(R73)+1,1,4)-WEEKDAY(DATE(YEAR(R73)+1,1,4))+1,YEAR(R73)+1,IF(R73&lt;DATE(YEAR(R73),1,4)-WEEKDAY(DATE(YEAR(R73),1,4))+1,YEAR(R73)-1,YEAR(R73)))</f>
        <v>2024</v>
      </c>
      <c r="T73" s="5" t="n">
        <f aca="false">INT((R73-(DATE(S73,1,4)-WEEKDAY(DATE(S73,1,4))+1))/7)+1</f>
        <v>15</v>
      </c>
      <c r="U73" s="5" t="str">
        <f aca="false">IF(T73&gt;=36,S73&amp;"-"&amp;RIGHT(S73+1,2),(S73-1)&amp;"-"&amp;RIGHT(S73,2))</f>
        <v>2023-24</v>
      </c>
    </row>
    <row r="74" customFormat="false" ht="15" hidden="false" customHeight="false" outlineLevel="0" collapsed="false">
      <c r="A74" s="8" t="n">
        <v>45397</v>
      </c>
      <c r="B74" s="6" t="n">
        <v>1</v>
      </c>
      <c r="C74" s="6" t="n">
        <v>3</v>
      </c>
      <c r="D74" s="6" t="n">
        <v>0</v>
      </c>
      <c r="E74" s="6"/>
      <c r="F74" s="6"/>
      <c r="G74" s="6"/>
      <c r="H74" s="6"/>
      <c r="I74" s="6"/>
      <c r="J74" s="6"/>
      <c r="K74" s="6"/>
      <c r="L74" s="6"/>
      <c r="M74" s="5" t="str">
        <f aca="false">IF(AND(K74="",L74=""),"",SUM(K74:L74))</f>
        <v/>
      </c>
      <c r="N74" s="6"/>
      <c r="O74" s="6"/>
      <c r="P74" s="10" t="str">
        <f aca="false">IF(OR(M74="",M74=0),"",IF(N74="",0,N74)/M74)</f>
        <v/>
      </c>
      <c r="Q74" s="7"/>
      <c r="R74" s="11" t="n">
        <f aca="false">A74+5</f>
        <v>45402</v>
      </c>
      <c r="S74" s="5" t="n">
        <f aca="false">IF(R74&gt;=DATE(YEAR(R74)+1,1,4)-WEEKDAY(DATE(YEAR(R74)+1,1,4))+1,YEAR(R74)+1,IF(R74&lt;DATE(YEAR(R74),1,4)-WEEKDAY(DATE(YEAR(R74),1,4))+1,YEAR(R74)-1,YEAR(R74)))</f>
        <v>2024</v>
      </c>
      <c r="T74" s="5" t="n">
        <f aca="false">INT((R74-(DATE(S74,1,4)-WEEKDAY(DATE(S74,1,4))+1))/7)+1</f>
        <v>16</v>
      </c>
      <c r="U74" s="5" t="str">
        <f aca="false">IF(T74&gt;=36,S74&amp;"-"&amp;RIGHT(S74+1,2),(S74-1)&amp;"-"&amp;RIGHT(S74,2))</f>
        <v>2023-24</v>
      </c>
    </row>
    <row r="75" customFormat="false" ht="15" hidden="false" customHeight="false" outlineLevel="0" collapsed="false">
      <c r="A75" s="8" t="n">
        <v>45404</v>
      </c>
      <c r="B75" s="6" t="n">
        <v>0</v>
      </c>
      <c r="C75" s="6" t="n">
        <v>1</v>
      </c>
      <c r="D75" s="6" t="n">
        <v>0</v>
      </c>
      <c r="E75" s="6"/>
      <c r="F75" s="6"/>
      <c r="G75" s="6"/>
      <c r="H75" s="6"/>
      <c r="I75" s="6"/>
      <c r="J75" s="6"/>
      <c r="K75" s="6"/>
      <c r="L75" s="6"/>
      <c r="M75" s="5" t="str">
        <f aca="false">IF(AND(K75="",L75=""),"",SUM(K75:L75))</f>
        <v/>
      </c>
      <c r="N75" s="6"/>
      <c r="O75" s="6"/>
      <c r="P75" s="10" t="str">
        <f aca="false">IF(OR(M75="",M75=0),"",IF(N75="",0,N75)/M75)</f>
        <v/>
      </c>
      <c r="Q75" s="7"/>
      <c r="R75" s="11" t="n">
        <f aca="false">A75+5</f>
        <v>45409</v>
      </c>
      <c r="S75" s="5" t="n">
        <f aca="false">IF(R75&gt;=DATE(YEAR(R75)+1,1,4)-WEEKDAY(DATE(YEAR(R75)+1,1,4))+1,YEAR(R75)+1,IF(R75&lt;DATE(YEAR(R75),1,4)-WEEKDAY(DATE(YEAR(R75),1,4))+1,YEAR(R75)-1,YEAR(R75)))</f>
        <v>2024</v>
      </c>
      <c r="T75" s="5" t="n">
        <f aca="false">INT((R75-(DATE(S75,1,4)-WEEKDAY(DATE(S75,1,4))+1))/7)+1</f>
        <v>17</v>
      </c>
      <c r="U75" s="5" t="str">
        <f aca="false">IF(T75&gt;=36,S75&amp;"-"&amp;RIGHT(S75+1,2),(S75-1)&amp;"-"&amp;RIGHT(S75,2))</f>
        <v>2023-24</v>
      </c>
    </row>
    <row r="76" customFormat="false" ht="15" hidden="false" customHeight="false" outlineLevel="0" collapsed="false">
      <c r="A76" s="8" t="n">
        <v>45411</v>
      </c>
      <c r="B76" s="6" t="n">
        <v>0</v>
      </c>
      <c r="C76" s="6" t="n">
        <v>1</v>
      </c>
      <c r="D76" s="6" t="n">
        <v>0</v>
      </c>
      <c r="E76" s="6"/>
      <c r="F76" s="6"/>
      <c r="G76" s="6"/>
      <c r="H76" s="6"/>
      <c r="I76" s="6"/>
      <c r="J76" s="6"/>
      <c r="K76" s="6"/>
      <c r="L76" s="6"/>
      <c r="M76" s="5" t="str">
        <f aca="false">IF(AND(K76="",L76=""),"",SUM(K76:L76))</f>
        <v/>
      </c>
      <c r="N76" s="6"/>
      <c r="O76" s="6"/>
      <c r="P76" s="10" t="str">
        <f aca="false">IF(OR(M76="",M76=0),"",IF(N76="",0,N76)/M76)</f>
        <v/>
      </c>
      <c r="Q76" s="7"/>
      <c r="R76" s="11" t="n">
        <f aca="false">A76+5</f>
        <v>45416</v>
      </c>
      <c r="S76" s="5" t="n">
        <f aca="false">IF(R76&gt;=DATE(YEAR(R76)+1,1,4)-WEEKDAY(DATE(YEAR(R76)+1,1,4))+1,YEAR(R76)+1,IF(R76&lt;DATE(YEAR(R76),1,4)-WEEKDAY(DATE(YEAR(R76),1,4))+1,YEAR(R76)-1,YEAR(R76)))</f>
        <v>2024</v>
      </c>
      <c r="T76" s="5" t="n">
        <f aca="false">INT((R76-(DATE(S76,1,4)-WEEKDAY(DATE(S76,1,4))+1))/7)+1</f>
        <v>18</v>
      </c>
      <c r="U76" s="5" t="str">
        <f aca="false">IF(T76&gt;=36,S76&amp;"-"&amp;RIGHT(S76+1,2),(S76-1)&amp;"-"&amp;RIGHT(S76,2))</f>
        <v>2023-24</v>
      </c>
    </row>
    <row r="77" customFormat="false" ht="15" hidden="false" customHeight="false" outlineLevel="0" collapsed="false">
      <c r="A77" s="8" t="n">
        <v>45418</v>
      </c>
      <c r="B77" s="6" t="n">
        <v>1</v>
      </c>
      <c r="C77" s="6" t="n">
        <v>0</v>
      </c>
      <c r="D77" s="6" t="n">
        <v>0</v>
      </c>
      <c r="E77" s="6"/>
      <c r="F77" s="6"/>
      <c r="G77" s="6"/>
      <c r="H77" s="6"/>
      <c r="I77" s="6"/>
      <c r="J77" s="6"/>
      <c r="K77" s="6"/>
      <c r="L77" s="6"/>
      <c r="M77" s="5" t="str">
        <f aca="false">IF(AND(K77="",L77=""),"",SUM(K77:L77))</f>
        <v/>
      </c>
      <c r="N77" s="6"/>
      <c r="O77" s="6"/>
      <c r="P77" s="10" t="str">
        <f aca="false">IF(OR(M77="",M77=0),"",IF(N77="",0,N77)/M77)</f>
        <v/>
      </c>
      <c r="Q77" s="7"/>
      <c r="R77" s="11" t="n">
        <f aca="false">A77+5</f>
        <v>45423</v>
      </c>
      <c r="S77" s="5" t="n">
        <f aca="false">IF(R77&gt;=DATE(YEAR(R77)+1,1,4)-WEEKDAY(DATE(YEAR(R77)+1,1,4))+1,YEAR(R77)+1,IF(R77&lt;DATE(YEAR(R77),1,4)-WEEKDAY(DATE(YEAR(R77),1,4))+1,YEAR(R77)-1,YEAR(R77)))</f>
        <v>2024</v>
      </c>
      <c r="T77" s="5" t="n">
        <f aca="false">INT((R77-(DATE(S77,1,4)-WEEKDAY(DATE(S77,1,4))+1))/7)+1</f>
        <v>19</v>
      </c>
      <c r="U77" s="5" t="str">
        <f aca="false">IF(T77&gt;=36,S77&amp;"-"&amp;RIGHT(S77+1,2),(S77-1)&amp;"-"&amp;RIGHT(S77,2))</f>
        <v>2023-24</v>
      </c>
    </row>
    <row r="78" customFormat="false" ht="15" hidden="false" customHeight="false" outlineLevel="0" collapsed="false">
      <c r="A78" s="8" t="n">
        <v>45425</v>
      </c>
      <c r="B78" s="6" t="n">
        <v>0</v>
      </c>
      <c r="C78" s="6" t="n">
        <v>1</v>
      </c>
      <c r="D78" s="6" t="n">
        <v>0</v>
      </c>
      <c r="E78" s="6"/>
      <c r="F78" s="6"/>
      <c r="G78" s="6"/>
      <c r="H78" s="6"/>
      <c r="I78" s="6"/>
      <c r="J78" s="6"/>
      <c r="K78" s="6"/>
      <c r="L78" s="6"/>
      <c r="M78" s="5" t="str">
        <f aca="false">IF(AND(K78="",L78=""),"",SUM(K78:L78))</f>
        <v/>
      </c>
      <c r="N78" s="6"/>
      <c r="O78" s="6"/>
      <c r="P78" s="10" t="str">
        <f aca="false">IF(OR(M78="",M78=0),"",IF(N78="",0,N78)/M78)</f>
        <v/>
      </c>
      <c r="Q78" s="7"/>
      <c r="R78" s="11" t="n">
        <f aca="false">A78+5</f>
        <v>45430</v>
      </c>
      <c r="S78" s="5" t="n">
        <f aca="false">IF(R78&gt;=DATE(YEAR(R78)+1,1,4)-WEEKDAY(DATE(YEAR(R78)+1,1,4))+1,YEAR(R78)+1,IF(R78&lt;DATE(YEAR(R78),1,4)-WEEKDAY(DATE(YEAR(R78),1,4))+1,YEAR(R78)-1,YEAR(R78)))</f>
        <v>2024</v>
      </c>
      <c r="T78" s="5" t="n">
        <f aca="false">INT((R78-(DATE(S78,1,4)-WEEKDAY(DATE(S78,1,4))+1))/7)+1</f>
        <v>20</v>
      </c>
      <c r="U78" s="5" t="str">
        <f aca="false">IF(T78&gt;=36,S78&amp;"-"&amp;RIGHT(S78+1,2),(S78-1)&amp;"-"&amp;RIGHT(S78,2))</f>
        <v>2023-24</v>
      </c>
    </row>
    <row r="79" customFormat="false" ht="15" hidden="false" customHeight="false" outlineLevel="0" collapsed="false">
      <c r="A79" s="8" t="n">
        <v>45432</v>
      </c>
      <c r="B79" s="6" t="n">
        <v>2</v>
      </c>
      <c r="C79" s="6" t="n">
        <v>1</v>
      </c>
      <c r="D79" s="6" t="n">
        <v>0</v>
      </c>
      <c r="E79" s="6"/>
      <c r="F79" s="6"/>
      <c r="G79" s="6"/>
      <c r="H79" s="6"/>
      <c r="I79" s="6"/>
      <c r="J79" s="6"/>
      <c r="K79" s="6"/>
      <c r="L79" s="6"/>
      <c r="M79" s="5" t="str">
        <f aca="false">IF(AND(K79="",L79=""),"",SUM(K79:L79))</f>
        <v/>
      </c>
      <c r="N79" s="6"/>
      <c r="O79" s="6"/>
      <c r="P79" s="10" t="str">
        <f aca="false">IF(OR(M79="",M79=0),"",IF(N79="",0,N79)/M79)</f>
        <v/>
      </c>
      <c r="Q79" s="7"/>
      <c r="R79" s="11" t="n">
        <f aca="false">A79+5</f>
        <v>45437</v>
      </c>
      <c r="S79" s="5" t="n">
        <f aca="false">IF(R79&gt;=DATE(YEAR(R79)+1,1,4)-WEEKDAY(DATE(YEAR(R79)+1,1,4))+1,YEAR(R79)+1,IF(R79&lt;DATE(YEAR(R79),1,4)-WEEKDAY(DATE(YEAR(R79),1,4))+1,YEAR(R79)-1,YEAR(R79)))</f>
        <v>2024</v>
      </c>
      <c r="T79" s="5" t="n">
        <f aca="false">INT((R79-(DATE(S79,1,4)-WEEKDAY(DATE(S79,1,4))+1))/7)+1</f>
        <v>21</v>
      </c>
      <c r="U79" s="5" t="str">
        <f aca="false">IF(T79&gt;=36,S79&amp;"-"&amp;RIGHT(S79+1,2),(S79-1)&amp;"-"&amp;RIGHT(S79,2))</f>
        <v>2023-24</v>
      </c>
    </row>
    <row r="80" customFormat="false" ht="15" hidden="false" customHeight="false" outlineLevel="0" collapsed="false">
      <c r="A80" s="8" t="n">
        <v>45439</v>
      </c>
      <c r="B80" s="6" t="n">
        <v>1</v>
      </c>
      <c r="C80" s="6" t="n">
        <v>3</v>
      </c>
      <c r="D80" s="6" t="n">
        <v>0</v>
      </c>
      <c r="E80" s="6"/>
      <c r="F80" s="6"/>
      <c r="G80" s="6"/>
      <c r="H80" s="6"/>
      <c r="I80" s="6"/>
      <c r="J80" s="6"/>
      <c r="K80" s="6"/>
      <c r="L80" s="6"/>
      <c r="M80" s="5" t="str">
        <f aca="false">IF(AND(K80="",L80=""),"",SUM(K80:L80))</f>
        <v/>
      </c>
      <c r="N80" s="6"/>
      <c r="O80" s="6"/>
      <c r="P80" s="10" t="str">
        <f aca="false">IF(OR(M80="",M80=0),"",IF(N80="",0,N80)/M80)</f>
        <v/>
      </c>
      <c r="Q80" s="7"/>
      <c r="R80" s="11" t="n">
        <f aca="false">A80+5</f>
        <v>45444</v>
      </c>
      <c r="S80" s="5" t="n">
        <f aca="false">IF(R80&gt;=DATE(YEAR(R80)+1,1,4)-WEEKDAY(DATE(YEAR(R80)+1,1,4))+1,YEAR(R80)+1,IF(R80&lt;DATE(YEAR(R80),1,4)-WEEKDAY(DATE(YEAR(R80),1,4))+1,YEAR(R80)-1,YEAR(R80)))</f>
        <v>2024</v>
      </c>
      <c r="T80" s="5" t="n">
        <f aca="false">INT((R80-(DATE(S80,1,4)-WEEKDAY(DATE(S80,1,4))+1))/7)+1</f>
        <v>22</v>
      </c>
      <c r="U80" s="5" t="str">
        <f aca="false">IF(T80&gt;=36,S80&amp;"-"&amp;RIGHT(S80+1,2),(S80-1)&amp;"-"&amp;RIGHT(S80,2))</f>
        <v>2023-24</v>
      </c>
    </row>
    <row r="81" customFormat="false" ht="15" hidden="false" customHeight="false" outlineLevel="0" collapsed="false">
      <c r="A81" s="8" t="n">
        <v>45446</v>
      </c>
      <c r="B81" s="6" t="n">
        <v>1</v>
      </c>
      <c r="C81" s="6" t="n">
        <v>3</v>
      </c>
      <c r="D81" s="6" t="n">
        <v>1</v>
      </c>
      <c r="E81" s="6"/>
      <c r="F81" s="6"/>
      <c r="G81" s="6"/>
      <c r="H81" s="6"/>
      <c r="I81" s="6"/>
      <c r="J81" s="6"/>
      <c r="K81" s="6"/>
      <c r="L81" s="6"/>
      <c r="M81" s="5" t="str">
        <f aca="false">IF(AND(K81="",L81=""),"",SUM(K81:L81))</f>
        <v/>
      </c>
      <c r="N81" s="6"/>
      <c r="O81" s="6"/>
      <c r="P81" s="10" t="str">
        <f aca="false">IF(OR(M81="",M81=0),"",IF(N81="",0,N81)/M81)</f>
        <v/>
      </c>
      <c r="Q81" s="7"/>
      <c r="R81" s="11" t="n">
        <f aca="false">A81+5</f>
        <v>45451</v>
      </c>
      <c r="S81" s="5" t="n">
        <f aca="false">IF(R81&gt;=DATE(YEAR(R81)+1,1,4)-WEEKDAY(DATE(YEAR(R81)+1,1,4))+1,YEAR(R81)+1,IF(R81&lt;DATE(YEAR(R81),1,4)-WEEKDAY(DATE(YEAR(R81),1,4))+1,YEAR(R81)-1,YEAR(R81)))</f>
        <v>2024</v>
      </c>
      <c r="T81" s="5" t="n">
        <f aca="false">INT((R81-(DATE(S81,1,4)-WEEKDAY(DATE(S81,1,4))+1))/7)+1</f>
        <v>23</v>
      </c>
      <c r="U81" s="5" t="str">
        <f aca="false">IF(T81&gt;=36,S81&amp;"-"&amp;RIGHT(S81+1,2),(S81-1)&amp;"-"&amp;RIGHT(S81,2))</f>
        <v>2023-24</v>
      </c>
    </row>
    <row r="82" customFormat="false" ht="15" hidden="false" customHeight="false" outlineLevel="0" collapsed="false">
      <c r="A82" s="8" t="n">
        <v>45453</v>
      </c>
      <c r="B82" s="6" t="n">
        <v>2</v>
      </c>
      <c r="C82" s="6" t="n">
        <v>0</v>
      </c>
      <c r="D82" s="6" t="n">
        <v>0</v>
      </c>
      <c r="E82" s="6"/>
      <c r="F82" s="6"/>
      <c r="G82" s="6"/>
      <c r="H82" s="6"/>
      <c r="I82" s="6"/>
      <c r="J82" s="6"/>
      <c r="K82" s="6"/>
      <c r="L82" s="6"/>
      <c r="M82" s="5" t="str">
        <f aca="false">IF(AND(K82="",L82=""),"",SUM(K82:L82))</f>
        <v/>
      </c>
      <c r="N82" s="6"/>
      <c r="O82" s="6"/>
      <c r="P82" s="10" t="str">
        <f aca="false">IF(OR(M82="",M82=0),"",IF(N82="",0,N82)/M82)</f>
        <v/>
      </c>
      <c r="Q82" s="7"/>
      <c r="R82" s="11" t="n">
        <f aca="false">A82+5</f>
        <v>45458</v>
      </c>
      <c r="S82" s="5" t="n">
        <f aca="false">IF(R82&gt;=DATE(YEAR(R82)+1,1,4)-WEEKDAY(DATE(YEAR(R82)+1,1,4))+1,YEAR(R82)+1,IF(R82&lt;DATE(YEAR(R82),1,4)-WEEKDAY(DATE(YEAR(R82),1,4))+1,YEAR(R82)-1,YEAR(R82)))</f>
        <v>2024</v>
      </c>
      <c r="T82" s="5" t="n">
        <f aca="false">INT((R82-(DATE(S82,1,4)-WEEKDAY(DATE(S82,1,4))+1))/7)+1</f>
        <v>24</v>
      </c>
      <c r="U82" s="5" t="str">
        <f aca="false">IF(T82&gt;=36,S82&amp;"-"&amp;RIGHT(S82+1,2),(S82-1)&amp;"-"&amp;RIGHT(S82,2))</f>
        <v>2023-24</v>
      </c>
    </row>
    <row r="83" customFormat="false" ht="15" hidden="false" customHeight="false" outlineLevel="0" collapsed="false">
      <c r="A83" s="8" t="n">
        <v>45460</v>
      </c>
      <c r="B83" s="6" t="n">
        <v>4</v>
      </c>
      <c r="C83" s="6" t="n">
        <v>0</v>
      </c>
      <c r="D83" s="6" t="n">
        <v>0</v>
      </c>
      <c r="E83" s="6"/>
      <c r="F83" s="6"/>
      <c r="G83" s="6"/>
      <c r="H83" s="6"/>
      <c r="I83" s="6"/>
      <c r="J83" s="6"/>
      <c r="K83" s="6"/>
      <c r="L83" s="6"/>
      <c r="M83" s="5" t="str">
        <f aca="false">IF(AND(K83="",L83=""),"",SUM(K83:L83))</f>
        <v/>
      </c>
      <c r="N83" s="6"/>
      <c r="O83" s="6"/>
      <c r="P83" s="10" t="str">
        <f aca="false">IF(OR(M83="",M83=0),"",IF(N83="",0,N83)/M83)</f>
        <v/>
      </c>
      <c r="Q83" s="7"/>
      <c r="R83" s="11" t="n">
        <f aca="false">A83+5</f>
        <v>45465</v>
      </c>
      <c r="S83" s="5" t="n">
        <f aca="false">IF(R83&gt;=DATE(YEAR(R83)+1,1,4)-WEEKDAY(DATE(YEAR(R83)+1,1,4))+1,YEAR(R83)+1,IF(R83&lt;DATE(YEAR(R83),1,4)-WEEKDAY(DATE(YEAR(R83),1,4))+1,YEAR(R83)-1,YEAR(R83)))</f>
        <v>2024</v>
      </c>
      <c r="T83" s="5" t="n">
        <f aca="false">INT((R83-(DATE(S83,1,4)-WEEKDAY(DATE(S83,1,4))+1))/7)+1</f>
        <v>25</v>
      </c>
      <c r="U83" s="5" t="str">
        <f aca="false">IF(T83&gt;=36,S83&amp;"-"&amp;RIGHT(S83+1,2),(S83-1)&amp;"-"&amp;RIGHT(S83,2))</f>
        <v>2023-24</v>
      </c>
    </row>
    <row r="84" customFormat="false" ht="15" hidden="false" customHeight="false" outlineLevel="0" collapsed="false">
      <c r="A84" s="8" t="n">
        <v>45467</v>
      </c>
      <c r="B84" s="6" t="n">
        <v>2</v>
      </c>
      <c r="C84" s="6" t="n">
        <v>0</v>
      </c>
      <c r="D84" s="6" t="n">
        <v>0</v>
      </c>
      <c r="E84" s="6"/>
      <c r="F84" s="6"/>
      <c r="G84" s="6"/>
      <c r="H84" s="6"/>
      <c r="I84" s="6"/>
      <c r="J84" s="6"/>
      <c r="K84" s="6"/>
      <c r="L84" s="6"/>
      <c r="M84" s="5" t="str">
        <f aca="false">IF(AND(K84="",L84=""),"",SUM(K84:L84))</f>
        <v/>
      </c>
      <c r="N84" s="6"/>
      <c r="O84" s="6"/>
      <c r="P84" s="10" t="str">
        <f aca="false">IF(OR(M84="",M84=0),"",IF(N84="",0,N84)/M84)</f>
        <v/>
      </c>
      <c r="Q84" s="7"/>
      <c r="R84" s="11" t="n">
        <f aca="false">A84+5</f>
        <v>45472</v>
      </c>
      <c r="S84" s="5" t="n">
        <f aca="false">IF(R84&gt;=DATE(YEAR(R84)+1,1,4)-WEEKDAY(DATE(YEAR(R84)+1,1,4))+1,YEAR(R84)+1,IF(R84&lt;DATE(YEAR(R84),1,4)-WEEKDAY(DATE(YEAR(R84),1,4))+1,YEAR(R84)-1,YEAR(R84)))</f>
        <v>2024</v>
      </c>
      <c r="T84" s="5" t="n">
        <f aca="false">INT((R84-(DATE(S84,1,4)-WEEKDAY(DATE(S84,1,4))+1))/7)+1</f>
        <v>26</v>
      </c>
      <c r="U84" s="5" t="str">
        <f aca="false">IF(T84&gt;=36,S84&amp;"-"&amp;RIGHT(S84+1,2),(S84-1)&amp;"-"&amp;RIGHT(S84,2))</f>
        <v>2023-24</v>
      </c>
    </row>
    <row r="85" customFormat="false" ht="15" hidden="false" customHeight="false" outlineLevel="0" collapsed="false">
      <c r="A85" s="8" t="n">
        <v>45474</v>
      </c>
      <c r="B85" s="6" t="n">
        <v>4</v>
      </c>
      <c r="C85" s="6" t="n">
        <v>0</v>
      </c>
      <c r="D85" s="6" t="n">
        <v>0</v>
      </c>
      <c r="E85" s="6"/>
      <c r="F85" s="6"/>
      <c r="G85" s="6"/>
      <c r="H85" s="6"/>
      <c r="I85" s="6"/>
      <c r="J85" s="6"/>
      <c r="K85" s="6"/>
      <c r="L85" s="6"/>
      <c r="M85" s="5" t="str">
        <f aca="false">IF(AND(K85="",L85=""),"",SUM(K85:L85))</f>
        <v/>
      </c>
      <c r="N85" s="6"/>
      <c r="O85" s="6"/>
      <c r="P85" s="10" t="str">
        <f aca="false">IF(OR(M85="",M85=0),"",IF(N85="",0,N85)/M85)</f>
        <v/>
      </c>
      <c r="Q85" s="7"/>
      <c r="R85" s="11" t="n">
        <f aca="false">A85+5</f>
        <v>45479</v>
      </c>
      <c r="S85" s="5" t="n">
        <f aca="false">IF(R85&gt;=DATE(YEAR(R85)+1,1,4)-WEEKDAY(DATE(YEAR(R85)+1,1,4))+1,YEAR(R85)+1,IF(R85&lt;DATE(YEAR(R85),1,4)-WEEKDAY(DATE(YEAR(R85),1,4))+1,YEAR(R85)-1,YEAR(R85)))</f>
        <v>2024</v>
      </c>
      <c r="T85" s="5" t="n">
        <f aca="false">INT((R85-(DATE(S85,1,4)-WEEKDAY(DATE(S85,1,4))+1))/7)+1</f>
        <v>27</v>
      </c>
      <c r="U85" s="5" t="str">
        <f aca="false">IF(T85&gt;=36,S85&amp;"-"&amp;RIGHT(S85+1,2),(S85-1)&amp;"-"&amp;RIGHT(S85,2))</f>
        <v>2023-24</v>
      </c>
    </row>
    <row r="86" customFormat="false" ht="15" hidden="false" customHeight="false" outlineLevel="0" collapsed="false">
      <c r="A86" s="8" t="n">
        <v>45481</v>
      </c>
      <c r="B86" s="6" t="n">
        <v>1</v>
      </c>
      <c r="C86" s="6" t="n">
        <v>1</v>
      </c>
      <c r="D86" s="6" t="n">
        <v>0</v>
      </c>
      <c r="E86" s="6"/>
      <c r="F86" s="6"/>
      <c r="G86" s="6"/>
      <c r="H86" s="6"/>
      <c r="I86" s="6"/>
      <c r="J86" s="6"/>
      <c r="K86" s="6"/>
      <c r="L86" s="6"/>
      <c r="M86" s="5" t="str">
        <f aca="false">IF(AND(K86="",L86=""),"",SUM(K86:L86))</f>
        <v/>
      </c>
      <c r="N86" s="6"/>
      <c r="O86" s="6"/>
      <c r="P86" s="10" t="str">
        <f aca="false">IF(OR(M86="",M86=0),"",IF(N86="",0,N86)/M86)</f>
        <v/>
      </c>
      <c r="Q86" s="7"/>
      <c r="R86" s="11" t="n">
        <f aca="false">A86+5</f>
        <v>45486</v>
      </c>
      <c r="S86" s="5" t="n">
        <f aca="false">IF(R86&gt;=DATE(YEAR(R86)+1,1,4)-WEEKDAY(DATE(YEAR(R86)+1,1,4))+1,YEAR(R86)+1,IF(R86&lt;DATE(YEAR(R86),1,4)-WEEKDAY(DATE(YEAR(R86),1,4))+1,YEAR(R86)-1,YEAR(R86)))</f>
        <v>2024</v>
      </c>
      <c r="T86" s="5" t="n">
        <f aca="false">INT((R86-(DATE(S86,1,4)-WEEKDAY(DATE(S86,1,4))+1))/7)+1</f>
        <v>28</v>
      </c>
      <c r="U86" s="5" t="str">
        <f aca="false">IF(T86&gt;=36,S86&amp;"-"&amp;RIGHT(S86+1,2),(S86-1)&amp;"-"&amp;RIGHT(S86,2))</f>
        <v>2023-24</v>
      </c>
    </row>
    <row r="87" customFormat="false" ht="15" hidden="false" customHeight="false" outlineLevel="0" collapsed="false">
      <c r="A87" s="8" t="n">
        <v>45488</v>
      </c>
      <c r="B87" s="6" t="n">
        <v>6</v>
      </c>
      <c r="C87" s="6" t="n">
        <v>0</v>
      </c>
      <c r="D87" s="6" t="n">
        <v>0</v>
      </c>
      <c r="E87" s="6"/>
      <c r="F87" s="6"/>
      <c r="G87" s="6"/>
      <c r="H87" s="6"/>
      <c r="I87" s="6"/>
      <c r="J87" s="6"/>
      <c r="K87" s="6"/>
      <c r="L87" s="6"/>
      <c r="M87" s="5" t="str">
        <f aca="false">IF(AND(K87="",L87=""),"",SUM(K87:L87))</f>
        <v/>
      </c>
      <c r="N87" s="6"/>
      <c r="O87" s="6"/>
      <c r="P87" s="10" t="str">
        <f aca="false">IF(OR(M87="",M87=0),"",IF(N87="",0,N87)/M87)</f>
        <v/>
      </c>
      <c r="Q87" s="7"/>
      <c r="R87" s="11" t="n">
        <f aca="false">A87+5</f>
        <v>45493</v>
      </c>
      <c r="S87" s="5" t="n">
        <f aca="false">IF(R87&gt;=DATE(YEAR(R87)+1,1,4)-WEEKDAY(DATE(YEAR(R87)+1,1,4))+1,YEAR(R87)+1,IF(R87&lt;DATE(YEAR(R87),1,4)-WEEKDAY(DATE(YEAR(R87),1,4))+1,YEAR(R87)-1,YEAR(R87)))</f>
        <v>2024</v>
      </c>
      <c r="T87" s="5" t="n">
        <f aca="false">INT((R87-(DATE(S87,1,4)-WEEKDAY(DATE(S87,1,4))+1))/7)+1</f>
        <v>29</v>
      </c>
      <c r="U87" s="5" t="str">
        <f aca="false">IF(T87&gt;=36,S87&amp;"-"&amp;RIGHT(S87+1,2),(S87-1)&amp;"-"&amp;RIGHT(S87,2))</f>
        <v>2023-24</v>
      </c>
    </row>
    <row r="88" customFormat="false" ht="15" hidden="false" customHeight="false" outlineLevel="0" collapsed="false">
      <c r="A88" s="8" t="n">
        <v>45495</v>
      </c>
      <c r="B88" s="6" t="n">
        <v>4</v>
      </c>
      <c r="C88" s="6" t="n">
        <v>0</v>
      </c>
      <c r="D88" s="6" t="n">
        <v>0</v>
      </c>
      <c r="E88" s="6"/>
      <c r="F88" s="6"/>
      <c r="G88" s="6"/>
      <c r="H88" s="6"/>
      <c r="I88" s="6"/>
      <c r="J88" s="6"/>
      <c r="K88" s="6"/>
      <c r="L88" s="6"/>
      <c r="M88" s="5" t="str">
        <f aca="false">IF(AND(K88="",L88=""),"",SUM(K88:L88))</f>
        <v/>
      </c>
      <c r="N88" s="6"/>
      <c r="O88" s="6"/>
      <c r="P88" s="10" t="str">
        <f aca="false">IF(OR(M88="",M88=0),"",IF(N88="",0,N88)/M88)</f>
        <v/>
      </c>
      <c r="Q88" s="7"/>
      <c r="R88" s="11" t="n">
        <f aca="false">A88+5</f>
        <v>45500</v>
      </c>
      <c r="S88" s="5" t="n">
        <f aca="false">IF(R88&gt;=DATE(YEAR(R88)+1,1,4)-WEEKDAY(DATE(YEAR(R88)+1,1,4))+1,YEAR(R88)+1,IF(R88&lt;DATE(YEAR(R88),1,4)-WEEKDAY(DATE(YEAR(R88),1,4))+1,YEAR(R88)-1,YEAR(R88)))</f>
        <v>2024</v>
      </c>
      <c r="T88" s="5" t="n">
        <f aca="false">INT((R88-(DATE(S88,1,4)-WEEKDAY(DATE(S88,1,4))+1))/7)+1</f>
        <v>30</v>
      </c>
      <c r="U88" s="5" t="str">
        <f aca="false">IF(T88&gt;=36,S88&amp;"-"&amp;RIGHT(S88+1,2),(S88-1)&amp;"-"&amp;RIGHT(S88,2))</f>
        <v>2023-24</v>
      </c>
    </row>
    <row r="89" customFormat="false" ht="15" hidden="false" customHeight="false" outlineLevel="0" collapsed="false">
      <c r="A89" s="8" t="n">
        <v>45502</v>
      </c>
      <c r="B89" s="6" t="n">
        <v>2</v>
      </c>
      <c r="C89" s="6" t="n">
        <v>0</v>
      </c>
      <c r="D89" s="6" t="n">
        <v>0</v>
      </c>
      <c r="E89" s="6"/>
      <c r="F89" s="6"/>
      <c r="G89" s="6"/>
      <c r="H89" s="6"/>
      <c r="I89" s="6"/>
      <c r="J89" s="6"/>
      <c r="K89" s="6"/>
      <c r="L89" s="6"/>
      <c r="M89" s="5" t="str">
        <f aca="false">IF(AND(K89="",L89=""),"",SUM(K89:L89))</f>
        <v/>
      </c>
      <c r="N89" s="6"/>
      <c r="O89" s="6"/>
      <c r="P89" s="10" t="str">
        <f aca="false">IF(OR(M89="",M89=0),"",IF(N89="",0,N89)/M89)</f>
        <v/>
      </c>
      <c r="Q89" s="7"/>
      <c r="R89" s="11" t="n">
        <f aca="false">A89+5</f>
        <v>45507</v>
      </c>
      <c r="S89" s="5" t="n">
        <f aca="false">IF(R89&gt;=DATE(YEAR(R89)+1,1,4)-WEEKDAY(DATE(YEAR(R89)+1,1,4))+1,YEAR(R89)+1,IF(R89&lt;DATE(YEAR(R89),1,4)-WEEKDAY(DATE(YEAR(R89),1,4))+1,YEAR(R89)-1,YEAR(R89)))</f>
        <v>2024</v>
      </c>
      <c r="T89" s="5" t="n">
        <f aca="false">INT((R89-(DATE(S89,1,4)-WEEKDAY(DATE(S89,1,4))+1))/7)+1</f>
        <v>31</v>
      </c>
      <c r="U89" s="5" t="str">
        <f aca="false">IF(T89&gt;=36,S89&amp;"-"&amp;RIGHT(S89+1,2),(S89-1)&amp;"-"&amp;RIGHT(S89,2))</f>
        <v>2023-24</v>
      </c>
    </row>
    <row r="90" customFormat="false" ht="15" hidden="false" customHeight="false" outlineLevel="0" collapsed="false">
      <c r="A90" s="8" t="n">
        <v>45509</v>
      </c>
      <c r="B90" s="6" t="n">
        <v>10</v>
      </c>
      <c r="C90" s="6" t="n">
        <v>0</v>
      </c>
      <c r="D90" s="6" t="n">
        <v>0</v>
      </c>
      <c r="E90" s="6"/>
      <c r="F90" s="6"/>
      <c r="G90" s="6"/>
      <c r="H90" s="6"/>
      <c r="I90" s="6"/>
      <c r="J90" s="6"/>
      <c r="K90" s="6"/>
      <c r="L90" s="6"/>
      <c r="M90" s="5" t="str">
        <f aca="false">IF(AND(K90="",L90=""),"",SUM(K90:L90))</f>
        <v/>
      </c>
      <c r="N90" s="6"/>
      <c r="O90" s="6"/>
      <c r="P90" s="10" t="str">
        <f aca="false">IF(OR(M90="",M90=0),"",IF(N90="",0,N90)/M90)</f>
        <v/>
      </c>
      <c r="Q90" s="7"/>
      <c r="R90" s="11" t="n">
        <f aca="false">A90+5</f>
        <v>45514</v>
      </c>
      <c r="S90" s="5" t="n">
        <f aca="false">IF(R90&gt;=DATE(YEAR(R90)+1,1,4)-WEEKDAY(DATE(YEAR(R90)+1,1,4))+1,YEAR(R90)+1,IF(R90&lt;DATE(YEAR(R90),1,4)-WEEKDAY(DATE(YEAR(R90),1,4))+1,YEAR(R90)-1,YEAR(R90)))</f>
        <v>2024</v>
      </c>
      <c r="T90" s="5" t="n">
        <f aca="false">INT((R90-(DATE(S90,1,4)-WEEKDAY(DATE(S90,1,4))+1))/7)+1</f>
        <v>32</v>
      </c>
      <c r="U90" s="5" t="str">
        <f aca="false">IF(T90&gt;=36,S90&amp;"-"&amp;RIGHT(S90+1,2),(S90-1)&amp;"-"&amp;RIGHT(S90,2))</f>
        <v>2023-24</v>
      </c>
    </row>
    <row r="91" customFormat="false" ht="15" hidden="false" customHeight="false" outlineLevel="0" collapsed="false">
      <c r="A91" s="8" t="n">
        <v>45516</v>
      </c>
      <c r="B91" s="6" t="n">
        <v>8</v>
      </c>
      <c r="C91" s="6" t="n">
        <v>0</v>
      </c>
      <c r="D91" s="6" t="n">
        <v>0</v>
      </c>
      <c r="E91" s="6"/>
      <c r="F91" s="6"/>
      <c r="G91" s="6"/>
      <c r="H91" s="6"/>
      <c r="I91" s="6"/>
      <c r="J91" s="6"/>
      <c r="K91" s="6"/>
      <c r="L91" s="6"/>
      <c r="M91" s="5" t="str">
        <f aca="false">IF(AND(K91="",L91=""),"",SUM(K91:L91))</f>
        <v/>
      </c>
      <c r="N91" s="6"/>
      <c r="O91" s="6"/>
      <c r="P91" s="10" t="str">
        <f aca="false">IF(OR(M91="",M91=0),"",IF(N91="",0,N91)/M91)</f>
        <v/>
      </c>
      <c r="Q91" s="7"/>
      <c r="R91" s="11" t="n">
        <f aca="false">A91+5</f>
        <v>45521</v>
      </c>
      <c r="S91" s="5" t="n">
        <f aca="false">IF(R91&gt;=DATE(YEAR(R91)+1,1,4)-WEEKDAY(DATE(YEAR(R91)+1,1,4))+1,YEAR(R91)+1,IF(R91&lt;DATE(YEAR(R91),1,4)-WEEKDAY(DATE(YEAR(R91),1,4))+1,YEAR(R91)-1,YEAR(R91)))</f>
        <v>2024</v>
      </c>
      <c r="T91" s="5" t="n">
        <f aca="false">INT((R91-(DATE(S91,1,4)-WEEKDAY(DATE(S91,1,4))+1))/7)+1</f>
        <v>33</v>
      </c>
      <c r="U91" s="5" t="str">
        <f aca="false">IF(T91&gt;=36,S91&amp;"-"&amp;RIGHT(S91+1,2),(S91-1)&amp;"-"&amp;RIGHT(S91,2))</f>
        <v>2023-24</v>
      </c>
    </row>
    <row r="92" customFormat="false" ht="15" hidden="false" customHeight="false" outlineLevel="0" collapsed="false">
      <c r="A92" s="8" t="n">
        <v>45523</v>
      </c>
      <c r="B92" s="6" t="n">
        <v>1</v>
      </c>
      <c r="C92" s="6" t="n">
        <v>0</v>
      </c>
      <c r="D92" s="6" t="n">
        <v>0</v>
      </c>
      <c r="E92" s="6"/>
      <c r="F92" s="6"/>
      <c r="G92" s="6"/>
      <c r="H92" s="6"/>
      <c r="I92" s="6"/>
      <c r="J92" s="6"/>
      <c r="K92" s="6"/>
      <c r="L92" s="6"/>
      <c r="M92" s="5" t="str">
        <f aca="false">IF(AND(K92="",L92=""),"",SUM(K92:L92))</f>
        <v/>
      </c>
      <c r="N92" s="6"/>
      <c r="O92" s="6"/>
      <c r="P92" s="10" t="str">
        <f aca="false">IF(OR(M92="",M92=0),"",IF(N92="",0,N92)/M92)</f>
        <v/>
      </c>
      <c r="Q92" s="7"/>
      <c r="R92" s="11" t="n">
        <f aca="false">A92+5</f>
        <v>45528</v>
      </c>
      <c r="S92" s="5" t="n">
        <f aca="false">IF(R92&gt;=DATE(YEAR(R92)+1,1,4)-WEEKDAY(DATE(YEAR(R92)+1,1,4))+1,YEAR(R92)+1,IF(R92&lt;DATE(YEAR(R92),1,4)-WEEKDAY(DATE(YEAR(R92),1,4))+1,YEAR(R92)-1,YEAR(R92)))</f>
        <v>2024</v>
      </c>
      <c r="T92" s="5" t="n">
        <f aca="false">INT((R92-(DATE(S92,1,4)-WEEKDAY(DATE(S92,1,4))+1))/7)+1</f>
        <v>34</v>
      </c>
      <c r="U92" s="5" t="str">
        <f aca="false">IF(T92&gt;=36,S92&amp;"-"&amp;RIGHT(S92+1,2),(S92-1)&amp;"-"&amp;RIGHT(S92,2))</f>
        <v>2023-24</v>
      </c>
    </row>
    <row r="93" customFormat="false" ht="15" hidden="false" customHeight="false" outlineLevel="0" collapsed="false">
      <c r="A93" s="8" t="n">
        <v>45530</v>
      </c>
      <c r="B93" s="6" t="n">
        <v>5</v>
      </c>
      <c r="C93" s="6" t="n">
        <v>0</v>
      </c>
      <c r="D93" s="6" t="n">
        <v>0</v>
      </c>
      <c r="E93" s="6"/>
      <c r="F93" s="6"/>
      <c r="G93" s="6"/>
      <c r="H93" s="6"/>
      <c r="I93" s="6"/>
      <c r="J93" s="6"/>
      <c r="K93" s="6"/>
      <c r="L93" s="6"/>
      <c r="M93" s="5" t="str">
        <f aca="false">IF(AND(K93="",L93=""),"",SUM(K93:L93))</f>
        <v/>
      </c>
      <c r="N93" s="6"/>
      <c r="O93" s="6"/>
      <c r="P93" s="10" t="str">
        <f aca="false">IF(OR(M93="",M93=0),"",IF(N93="",0,N93)/M93)</f>
        <v/>
      </c>
      <c r="Q93" s="7"/>
      <c r="R93" s="11" t="n">
        <f aca="false">A93+5</f>
        <v>45535</v>
      </c>
      <c r="S93" s="5" t="n">
        <f aca="false">IF(R93&gt;=DATE(YEAR(R93)+1,1,4)-WEEKDAY(DATE(YEAR(R93)+1,1,4))+1,YEAR(R93)+1,IF(R93&lt;DATE(YEAR(R93),1,4)-WEEKDAY(DATE(YEAR(R93),1,4))+1,YEAR(R93)-1,YEAR(R93)))</f>
        <v>2024</v>
      </c>
      <c r="T93" s="5" t="n">
        <f aca="false">INT((R93-(DATE(S93,1,4)-WEEKDAY(DATE(S93,1,4))+1))/7)+1</f>
        <v>35</v>
      </c>
      <c r="U93" s="5" t="str">
        <f aca="false">IF(T93&gt;=36,S93&amp;"-"&amp;RIGHT(S93+1,2),(S93-1)&amp;"-"&amp;RIGHT(S93,2))</f>
        <v>2023-24</v>
      </c>
    </row>
    <row r="94" customFormat="false" ht="15" hidden="false" customHeight="false" outlineLevel="0" collapsed="false">
      <c r="A94" s="8" t="n">
        <v>45537</v>
      </c>
      <c r="B94" s="6" t="n">
        <v>6</v>
      </c>
      <c r="C94" s="6" t="n">
        <v>0</v>
      </c>
      <c r="D94" s="6" t="n">
        <v>0</v>
      </c>
      <c r="E94" s="6"/>
      <c r="F94" s="6"/>
      <c r="G94" s="6"/>
      <c r="H94" s="6"/>
      <c r="I94" s="6"/>
      <c r="J94" s="6"/>
      <c r="K94" s="6"/>
      <c r="L94" s="6"/>
      <c r="M94" s="5" t="str">
        <f aca="false">IF(AND(K94="",L94=""),"",SUM(K94:L94))</f>
        <v/>
      </c>
      <c r="N94" s="6"/>
      <c r="O94" s="6"/>
      <c r="P94" s="10" t="str">
        <f aca="false">IF(OR(M94="",M94=0),"",IF(N94="",0,N94)/M94)</f>
        <v/>
      </c>
      <c r="Q94" s="7"/>
      <c r="R94" s="11" t="n">
        <f aca="false">A94+5</f>
        <v>45542</v>
      </c>
      <c r="S94" s="5" t="n">
        <f aca="false">IF(R94&gt;=DATE(YEAR(R94)+1,1,4)-WEEKDAY(DATE(YEAR(R94)+1,1,4))+1,YEAR(R94)+1,IF(R94&lt;DATE(YEAR(R94),1,4)-WEEKDAY(DATE(YEAR(R94),1,4))+1,YEAR(R94)-1,YEAR(R94)))</f>
        <v>2024</v>
      </c>
      <c r="T94" s="5" t="n">
        <f aca="false">INT((R94-(DATE(S94,1,4)-WEEKDAY(DATE(S94,1,4))+1))/7)+1</f>
        <v>36</v>
      </c>
      <c r="U94" s="5" t="str">
        <f aca="false">IF(T94&gt;=36,S94&amp;"-"&amp;RIGHT(S94+1,2),(S94-1)&amp;"-"&amp;RIGHT(S94,2))</f>
        <v>2024-25</v>
      </c>
    </row>
    <row r="95" customFormat="false" ht="15" hidden="false" customHeight="false" outlineLevel="0" collapsed="false">
      <c r="A95" s="8" t="n">
        <v>45544</v>
      </c>
      <c r="B95" s="6" t="n">
        <v>3</v>
      </c>
      <c r="C95" s="6" t="n">
        <v>1</v>
      </c>
      <c r="D95" s="6" t="n">
        <v>0</v>
      </c>
      <c r="E95" s="6"/>
      <c r="F95" s="6"/>
      <c r="G95" s="6"/>
      <c r="H95" s="6"/>
      <c r="I95" s="6"/>
      <c r="J95" s="6"/>
      <c r="K95" s="6"/>
      <c r="L95" s="6"/>
      <c r="M95" s="5" t="str">
        <f aca="false">IF(AND(K95="",L95=""),"",SUM(K95:L95))</f>
        <v/>
      </c>
      <c r="N95" s="6"/>
      <c r="O95" s="6"/>
      <c r="P95" s="10" t="str">
        <f aca="false">IF(OR(M95="",M95=0),"",IF(N95="",0,N95)/M95)</f>
        <v/>
      </c>
      <c r="Q95" s="7"/>
      <c r="R95" s="11" t="n">
        <f aca="false">A95+5</f>
        <v>45549</v>
      </c>
      <c r="S95" s="5" t="n">
        <f aca="false">IF(R95&gt;=DATE(YEAR(R95)+1,1,4)-WEEKDAY(DATE(YEAR(R95)+1,1,4))+1,YEAR(R95)+1,IF(R95&lt;DATE(YEAR(R95),1,4)-WEEKDAY(DATE(YEAR(R95),1,4))+1,YEAR(R95)-1,YEAR(R95)))</f>
        <v>2024</v>
      </c>
      <c r="T95" s="5" t="n">
        <f aca="false">INT((R95-(DATE(S95,1,4)-WEEKDAY(DATE(S95,1,4))+1))/7)+1</f>
        <v>37</v>
      </c>
      <c r="U95" s="5" t="str">
        <f aca="false">IF(T95&gt;=36,S95&amp;"-"&amp;RIGHT(S95+1,2),(S95-1)&amp;"-"&amp;RIGHT(S95,2))</f>
        <v>2024-25</v>
      </c>
    </row>
    <row r="96" customFormat="false" ht="15" hidden="false" customHeight="false" outlineLevel="0" collapsed="false">
      <c r="A96" s="8" t="n">
        <v>45551</v>
      </c>
      <c r="B96" s="6" t="n">
        <v>5</v>
      </c>
      <c r="C96" s="6" t="n">
        <v>1</v>
      </c>
      <c r="D96" s="6" t="n">
        <v>0</v>
      </c>
      <c r="E96" s="6"/>
      <c r="F96" s="6"/>
      <c r="G96" s="6"/>
      <c r="H96" s="6"/>
      <c r="I96" s="6"/>
      <c r="J96" s="6"/>
      <c r="K96" s="6"/>
      <c r="L96" s="6"/>
      <c r="M96" s="5" t="str">
        <f aca="false">IF(AND(K96="",L96=""),"",SUM(K96:L96))</f>
        <v/>
      </c>
      <c r="N96" s="6"/>
      <c r="O96" s="6"/>
      <c r="P96" s="10" t="str">
        <f aca="false">IF(OR(M96="",M96=0),"",IF(N96="",0,N96)/M96)</f>
        <v/>
      </c>
      <c r="Q96" s="7"/>
      <c r="R96" s="11" t="n">
        <f aca="false">A96+5</f>
        <v>45556</v>
      </c>
      <c r="S96" s="5" t="n">
        <f aca="false">IF(R96&gt;=DATE(YEAR(R96)+1,1,4)-WEEKDAY(DATE(YEAR(R96)+1,1,4))+1,YEAR(R96)+1,IF(R96&lt;DATE(YEAR(R96),1,4)-WEEKDAY(DATE(YEAR(R96),1,4))+1,YEAR(R96)-1,YEAR(R96)))</f>
        <v>2024</v>
      </c>
      <c r="T96" s="5" t="n">
        <f aca="false">INT((R96-(DATE(S96,1,4)-WEEKDAY(DATE(S96,1,4))+1))/7)+1</f>
        <v>38</v>
      </c>
      <c r="U96" s="5" t="str">
        <f aca="false">IF(T96&gt;=36,S96&amp;"-"&amp;RIGHT(S96+1,2),(S96-1)&amp;"-"&amp;RIGHT(S96,2))</f>
        <v>2024-25</v>
      </c>
    </row>
    <row r="97" customFormat="false" ht="15" hidden="false" customHeight="false" outlineLevel="0" collapsed="false">
      <c r="A97" s="8" t="n">
        <v>45558</v>
      </c>
      <c r="B97" s="6" t="n">
        <v>8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1</v>
      </c>
      <c r="H97" s="6" t="n">
        <v>0</v>
      </c>
      <c r="I97" s="6" t="n">
        <v>0</v>
      </c>
      <c r="J97" s="6" t="n">
        <v>0</v>
      </c>
      <c r="K97" s="6" t="n">
        <v>1</v>
      </c>
      <c r="L97" s="6" t="n">
        <v>0</v>
      </c>
      <c r="M97" s="5" t="n">
        <f aca="false">IF(AND(K97="",L97=""),"",SUM(K97:L97))</f>
        <v>1</v>
      </c>
      <c r="N97" s="6" t="n">
        <v>0</v>
      </c>
      <c r="O97" s="6" t="n">
        <v>1</v>
      </c>
      <c r="P97" s="10" t="n">
        <f aca="false">IF(OR(M97="",M97=0),"",IF(N97="",0,N97)/M97)</f>
        <v>0</v>
      </c>
      <c r="Q97" s="7" t="s">
        <v>60</v>
      </c>
      <c r="R97" s="11" t="n">
        <f aca="false">A97+5</f>
        <v>45563</v>
      </c>
      <c r="S97" s="5" t="n">
        <f aca="false">IF(R97&gt;=DATE(YEAR(R97)+1,1,4)-WEEKDAY(DATE(YEAR(R97)+1,1,4))+1,YEAR(R97)+1,IF(R97&lt;DATE(YEAR(R97),1,4)-WEEKDAY(DATE(YEAR(R97),1,4))+1,YEAR(R97)-1,YEAR(R97)))</f>
        <v>2024</v>
      </c>
      <c r="T97" s="5" t="n">
        <f aca="false">INT((R97-(DATE(S97,1,4)-WEEKDAY(DATE(S97,1,4))+1))/7)+1</f>
        <v>39</v>
      </c>
      <c r="U97" s="5" t="str">
        <f aca="false">IF(T97&gt;=36,S97&amp;"-"&amp;RIGHT(S97+1,2),(S97-1)&amp;"-"&amp;RIGHT(S97,2))</f>
        <v>2024-25</v>
      </c>
    </row>
    <row r="98" customFormat="false" ht="15" hidden="false" customHeight="false" outlineLevel="0" collapsed="false">
      <c r="A98" s="8" t="n">
        <v>45565</v>
      </c>
      <c r="B98" s="6" t="n">
        <v>1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5" t="n">
        <f aca="false">IF(AND(K98="",L98=""),"",SUM(K98:L98))</f>
        <v>0</v>
      </c>
      <c r="N98" s="6" t="n">
        <v>0</v>
      </c>
      <c r="O98" s="6" t="n">
        <v>0</v>
      </c>
      <c r="P98" s="10" t="str">
        <f aca="false">IF(OR(M98="",M98=0),"",IF(N98="",0,N98)/M98)</f>
        <v/>
      </c>
      <c r="Q98" s="7" t="s">
        <v>60</v>
      </c>
      <c r="R98" s="11" t="n">
        <f aca="false">A98+5</f>
        <v>45570</v>
      </c>
      <c r="S98" s="5" t="n">
        <f aca="false">IF(R98&gt;=DATE(YEAR(R98)+1,1,4)-WEEKDAY(DATE(YEAR(R98)+1,1,4))+1,YEAR(R98)+1,IF(R98&lt;DATE(YEAR(R98),1,4)-WEEKDAY(DATE(YEAR(R98),1,4))+1,YEAR(R98)-1,YEAR(R98)))</f>
        <v>2024</v>
      </c>
      <c r="T98" s="5" t="n">
        <f aca="false">INT((R98-(DATE(S98,1,4)-WEEKDAY(DATE(S98,1,4))+1))/7)+1</f>
        <v>40</v>
      </c>
      <c r="U98" s="5" t="str">
        <f aca="false">IF(T98&gt;=36,S98&amp;"-"&amp;RIGHT(S98+1,2),(S98-1)&amp;"-"&amp;RIGHT(S98,2))</f>
        <v>2024-25</v>
      </c>
    </row>
    <row r="99" customFormat="false" ht="15" hidden="false" customHeight="false" outlineLevel="0" collapsed="false">
      <c r="A99" s="8" t="n">
        <v>45572</v>
      </c>
      <c r="B99" s="6" t="n">
        <v>1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5" t="n">
        <f aca="false">IF(AND(K99="",L99=""),"",SUM(K99:L99))</f>
        <v>0</v>
      </c>
      <c r="N99" s="6" t="n">
        <v>0</v>
      </c>
      <c r="O99" s="6" t="n">
        <v>0</v>
      </c>
      <c r="P99" s="10" t="str">
        <f aca="false">IF(OR(M99="",M99=0),"",IF(N99="",0,N99)/M99)</f>
        <v/>
      </c>
      <c r="Q99" s="7" t="s">
        <v>60</v>
      </c>
      <c r="R99" s="11" t="n">
        <f aca="false">A99+5</f>
        <v>45577</v>
      </c>
      <c r="S99" s="5" t="n">
        <f aca="false">IF(R99&gt;=DATE(YEAR(R99)+1,1,4)-WEEKDAY(DATE(YEAR(R99)+1,1,4))+1,YEAR(R99)+1,IF(R99&lt;DATE(YEAR(R99),1,4)-WEEKDAY(DATE(YEAR(R99),1,4))+1,YEAR(R99)-1,YEAR(R99)))</f>
        <v>2024</v>
      </c>
      <c r="T99" s="5" t="n">
        <f aca="false">INT((R99-(DATE(S99,1,4)-WEEKDAY(DATE(S99,1,4))+1))/7)+1</f>
        <v>41</v>
      </c>
      <c r="U99" s="5" t="str">
        <f aca="false">IF(T99&gt;=36,S99&amp;"-"&amp;RIGHT(S99+1,2),(S99-1)&amp;"-"&amp;RIGHT(S99,2))</f>
        <v>2024-25</v>
      </c>
    </row>
    <row r="100" customFormat="false" ht="15" hidden="false" customHeight="false" outlineLevel="0" collapsed="false">
      <c r="A100" s="8" t="n">
        <v>45579</v>
      </c>
      <c r="B100" s="6" t="n">
        <v>2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5" t="n">
        <f aca="false">IF(AND(K100="",L100=""),"",SUM(K100:L100))</f>
        <v>0</v>
      </c>
      <c r="N100" s="6" t="n">
        <v>0</v>
      </c>
      <c r="O100" s="6" t="n">
        <v>0</v>
      </c>
      <c r="P100" s="10" t="str">
        <f aca="false">IF(OR(M100="",M100=0),"",IF(N100="",0,N100)/M100)</f>
        <v/>
      </c>
      <c r="Q100" s="7" t="s">
        <v>60</v>
      </c>
      <c r="R100" s="11" t="n">
        <f aca="false">A100+5</f>
        <v>45584</v>
      </c>
      <c r="S100" s="5" t="n">
        <f aca="false">IF(R100&gt;=DATE(YEAR(R100)+1,1,4)-WEEKDAY(DATE(YEAR(R100)+1,1,4))+1,YEAR(R100)+1,IF(R100&lt;DATE(YEAR(R100),1,4)-WEEKDAY(DATE(YEAR(R100),1,4))+1,YEAR(R100)-1,YEAR(R100)))</f>
        <v>2024</v>
      </c>
      <c r="T100" s="5" t="n">
        <f aca="false">INT((R100-(DATE(S100,1,4)-WEEKDAY(DATE(S100,1,4))+1))/7)+1</f>
        <v>42</v>
      </c>
      <c r="U100" s="5" t="str">
        <f aca="false">IF(T100&gt;=36,S100&amp;"-"&amp;RIGHT(S100+1,2),(S100-1)&amp;"-"&amp;RIGHT(S100,2))</f>
        <v>2024-25</v>
      </c>
    </row>
    <row r="101" customFormat="false" ht="15" hidden="false" customHeight="false" outlineLevel="0" collapsed="false">
      <c r="A101" s="8" t="n">
        <v>45586</v>
      </c>
      <c r="B101" s="6" t="n">
        <v>3</v>
      </c>
      <c r="C101" s="6" t="n">
        <v>2</v>
      </c>
      <c r="D101" s="6" t="n">
        <v>2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1</v>
      </c>
      <c r="J101" s="6" t="n">
        <v>0</v>
      </c>
      <c r="K101" s="6" t="n">
        <v>0</v>
      </c>
      <c r="L101" s="6" t="n">
        <v>0</v>
      </c>
      <c r="M101" s="5" t="n">
        <f aca="false">IF(AND(K101="",L101=""),"",SUM(K101:L101))</f>
        <v>0</v>
      </c>
      <c r="N101" s="6" t="n">
        <v>0</v>
      </c>
      <c r="O101" s="6" t="n">
        <v>0</v>
      </c>
      <c r="P101" s="10" t="str">
        <f aca="false">IF(OR(M101="",M101=0),"",IF(N101="",0,N101)/M101)</f>
        <v/>
      </c>
      <c r="Q101" s="7" t="s">
        <v>60</v>
      </c>
      <c r="R101" s="11" t="n">
        <f aca="false">A101+5</f>
        <v>45591</v>
      </c>
      <c r="S101" s="5" t="n">
        <f aca="false">IF(R101&gt;=DATE(YEAR(R101)+1,1,4)-WEEKDAY(DATE(YEAR(R101)+1,1,4))+1,YEAR(R101)+1,IF(R101&lt;DATE(YEAR(R101),1,4)-WEEKDAY(DATE(YEAR(R101),1,4))+1,YEAR(R101)-1,YEAR(R101)))</f>
        <v>2024</v>
      </c>
      <c r="T101" s="5" t="n">
        <f aca="false">INT((R101-(DATE(S101,1,4)-WEEKDAY(DATE(S101,1,4))+1))/7)+1</f>
        <v>43</v>
      </c>
      <c r="U101" s="5" t="str">
        <f aca="false">IF(T101&gt;=36,S101&amp;"-"&amp;RIGHT(S101+1,2),(S101-1)&amp;"-"&amp;RIGHT(S101,2))</f>
        <v>2024-25</v>
      </c>
    </row>
    <row r="102" customFormat="false" ht="15" hidden="false" customHeight="false" outlineLevel="0" collapsed="false">
      <c r="A102" s="8" t="n">
        <v>45593</v>
      </c>
      <c r="B102" s="6" t="n">
        <v>2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5" t="n">
        <f aca="false">IF(AND(K102="",L102=""),"",SUM(K102:L102))</f>
        <v>0</v>
      </c>
      <c r="N102" s="6" t="n">
        <v>0</v>
      </c>
      <c r="O102" s="6" t="n">
        <v>0</v>
      </c>
      <c r="P102" s="10" t="str">
        <f aca="false">IF(OR(M102="",M102=0),"",IF(N102="",0,N102)/M102)</f>
        <v/>
      </c>
      <c r="Q102" s="7" t="s">
        <v>60</v>
      </c>
      <c r="R102" s="11" t="n">
        <f aca="false">A102+5</f>
        <v>45598</v>
      </c>
      <c r="S102" s="5" t="n">
        <f aca="false">IF(R102&gt;=DATE(YEAR(R102)+1,1,4)-WEEKDAY(DATE(YEAR(R102)+1,1,4))+1,YEAR(R102)+1,IF(R102&lt;DATE(YEAR(R102),1,4)-WEEKDAY(DATE(YEAR(R102),1,4))+1,YEAR(R102)-1,YEAR(R102)))</f>
        <v>2024</v>
      </c>
      <c r="T102" s="5" t="n">
        <f aca="false">INT((R102-(DATE(S102,1,4)-WEEKDAY(DATE(S102,1,4))+1))/7)+1</f>
        <v>44</v>
      </c>
      <c r="U102" s="5" t="str">
        <f aca="false">IF(T102&gt;=36,S102&amp;"-"&amp;RIGHT(S102+1,2),(S102-1)&amp;"-"&amp;RIGHT(S102,2))</f>
        <v>2024-25</v>
      </c>
    </row>
    <row r="103" customFormat="false" ht="15" hidden="false" customHeight="false" outlineLevel="0" collapsed="false">
      <c r="A103" s="8" t="n">
        <v>45600</v>
      </c>
      <c r="B103" s="6" t="n">
        <v>2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5" t="n">
        <f aca="false">IF(AND(K103="",L103=""),"",SUM(K103:L103))</f>
        <v>0</v>
      </c>
      <c r="N103" s="6" t="n">
        <v>0</v>
      </c>
      <c r="O103" s="6" t="n">
        <v>0</v>
      </c>
      <c r="P103" s="10" t="str">
        <f aca="false">IF(OR(M103="",M103=0),"",IF(N103="",0,N103)/M103)</f>
        <v/>
      </c>
      <c r="Q103" s="7" t="s">
        <v>60</v>
      </c>
      <c r="R103" s="11" t="n">
        <f aca="false">A103+5</f>
        <v>45605</v>
      </c>
      <c r="S103" s="5" t="n">
        <f aca="false">IF(R103&gt;=DATE(YEAR(R103)+1,1,4)-WEEKDAY(DATE(YEAR(R103)+1,1,4))+1,YEAR(R103)+1,IF(R103&lt;DATE(YEAR(R103),1,4)-WEEKDAY(DATE(YEAR(R103),1,4))+1,YEAR(R103)-1,YEAR(R103)))</f>
        <v>2024</v>
      </c>
      <c r="T103" s="5" t="n">
        <f aca="false">INT((R103-(DATE(S103,1,4)-WEEKDAY(DATE(S103,1,4))+1))/7)+1</f>
        <v>45</v>
      </c>
      <c r="U103" s="5" t="str">
        <f aca="false">IF(T103&gt;=36,S103&amp;"-"&amp;RIGHT(S103+1,2),(S103-1)&amp;"-"&amp;RIGHT(S103,2))</f>
        <v>2024-25</v>
      </c>
    </row>
    <row r="104" customFormat="false" ht="15" hidden="false" customHeight="false" outlineLevel="0" collapsed="false">
      <c r="A104" s="8" t="n">
        <v>45607</v>
      </c>
      <c r="B104" s="6" t="n">
        <v>1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5" t="n">
        <f aca="false">IF(AND(K104="",L104=""),"",SUM(K104:L104))</f>
        <v>0</v>
      </c>
      <c r="N104" s="6" t="n">
        <v>0</v>
      </c>
      <c r="O104" s="6" t="n">
        <v>0</v>
      </c>
      <c r="P104" s="10" t="str">
        <f aca="false">IF(OR(M104="",M104=0),"",IF(N104="",0,N104)/M104)</f>
        <v/>
      </c>
      <c r="Q104" s="7" t="s">
        <v>60</v>
      </c>
      <c r="R104" s="11" t="n">
        <f aca="false">A104+5</f>
        <v>45612</v>
      </c>
      <c r="S104" s="5" t="n">
        <f aca="false">IF(R104&gt;=DATE(YEAR(R104)+1,1,4)-WEEKDAY(DATE(YEAR(R104)+1,1,4))+1,YEAR(R104)+1,IF(R104&lt;DATE(YEAR(R104),1,4)-WEEKDAY(DATE(YEAR(R104),1,4))+1,YEAR(R104)-1,YEAR(R104)))</f>
        <v>2024</v>
      </c>
      <c r="T104" s="5" t="n">
        <f aca="false">INT((R104-(DATE(S104,1,4)-WEEKDAY(DATE(S104,1,4))+1))/7)+1</f>
        <v>46</v>
      </c>
      <c r="U104" s="5" t="str">
        <f aca="false">IF(T104&gt;=36,S104&amp;"-"&amp;RIGHT(S104+1,2),(S104-1)&amp;"-"&amp;RIGHT(S104,2))</f>
        <v>2024-25</v>
      </c>
    </row>
    <row r="105" customFormat="false" ht="15" hidden="false" customHeight="false" outlineLevel="0" collapsed="false">
      <c r="A105" s="8" t="n">
        <v>45614</v>
      </c>
      <c r="B105" s="6" t="n">
        <v>0</v>
      </c>
      <c r="C105" s="6" t="n">
        <v>1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1</v>
      </c>
      <c r="J105" s="6" t="n">
        <v>0</v>
      </c>
      <c r="K105" s="6" t="n">
        <v>0</v>
      </c>
      <c r="L105" s="6" t="n">
        <v>0</v>
      </c>
      <c r="M105" s="5" t="n">
        <f aca="false">IF(AND(K105="",L105=""),"",SUM(K105:L105))</f>
        <v>0</v>
      </c>
      <c r="N105" s="6" t="n">
        <v>0</v>
      </c>
      <c r="O105" s="6" t="n">
        <v>0</v>
      </c>
      <c r="P105" s="10" t="str">
        <f aca="false">IF(OR(M105="",M105=0),"",IF(N105="",0,N105)/M105)</f>
        <v/>
      </c>
      <c r="Q105" s="7" t="s">
        <v>60</v>
      </c>
      <c r="R105" s="11" t="n">
        <f aca="false">A105+5</f>
        <v>45619</v>
      </c>
      <c r="S105" s="5" t="n">
        <f aca="false">IF(R105&gt;=DATE(YEAR(R105)+1,1,4)-WEEKDAY(DATE(YEAR(R105)+1,1,4))+1,YEAR(R105)+1,IF(R105&lt;DATE(YEAR(R105),1,4)-WEEKDAY(DATE(YEAR(R105),1,4))+1,YEAR(R105)-1,YEAR(R105)))</f>
        <v>2024</v>
      </c>
      <c r="T105" s="5" t="n">
        <f aca="false">INT((R105-(DATE(S105,1,4)-WEEKDAY(DATE(S105,1,4))+1))/7)+1</f>
        <v>47</v>
      </c>
      <c r="U105" s="5" t="str">
        <f aca="false">IF(T105&gt;=36,S105&amp;"-"&amp;RIGHT(S105+1,2),(S105-1)&amp;"-"&amp;RIGHT(S105,2))</f>
        <v>2024-25</v>
      </c>
    </row>
    <row r="106" customFormat="false" ht="15" hidden="false" customHeight="false" outlineLevel="0" collapsed="false">
      <c r="A106" s="8" t="n">
        <v>45621</v>
      </c>
      <c r="B106" s="6" t="n">
        <v>1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3</v>
      </c>
      <c r="H106" s="6" t="n">
        <v>0</v>
      </c>
      <c r="I106" s="6" t="n">
        <v>1</v>
      </c>
      <c r="J106" s="6" t="n">
        <v>0</v>
      </c>
      <c r="K106" s="6" t="n">
        <v>3</v>
      </c>
      <c r="L106" s="6" t="n">
        <v>0</v>
      </c>
      <c r="M106" s="5" t="n">
        <f aca="false">IF(AND(K106="",L106=""),"",SUM(K106:L106))</f>
        <v>3</v>
      </c>
      <c r="N106" s="6" t="n">
        <v>0</v>
      </c>
      <c r="O106" s="6" t="n">
        <v>3</v>
      </c>
      <c r="P106" s="10" t="n">
        <f aca="false">IF(OR(M106="",M106=0),"",IF(N106="",0,N106)/M106)</f>
        <v>0</v>
      </c>
      <c r="Q106" s="7" t="s">
        <v>60</v>
      </c>
      <c r="R106" s="11" t="n">
        <f aca="false">A106+5</f>
        <v>45626</v>
      </c>
      <c r="S106" s="5" t="n">
        <f aca="false">IF(R106&gt;=DATE(YEAR(R106)+1,1,4)-WEEKDAY(DATE(YEAR(R106)+1,1,4))+1,YEAR(R106)+1,IF(R106&lt;DATE(YEAR(R106),1,4)-WEEKDAY(DATE(YEAR(R106),1,4))+1,YEAR(R106)-1,YEAR(R106)))</f>
        <v>2024</v>
      </c>
      <c r="T106" s="5" t="n">
        <f aca="false">INT((R106-(DATE(S106,1,4)-WEEKDAY(DATE(S106,1,4))+1))/7)+1</f>
        <v>48</v>
      </c>
      <c r="U106" s="5" t="str">
        <f aca="false">IF(T106&gt;=36,S106&amp;"-"&amp;RIGHT(S106+1,2),(S106-1)&amp;"-"&amp;RIGHT(S106,2))</f>
        <v>2024-25</v>
      </c>
    </row>
    <row r="107" customFormat="false" ht="15" hidden="false" customHeight="false" outlineLevel="0" collapsed="false">
      <c r="A107" s="8" t="n">
        <v>45628</v>
      </c>
      <c r="B107" s="6" t="n">
        <v>2</v>
      </c>
      <c r="C107" s="6" t="n">
        <v>4</v>
      </c>
      <c r="D107" s="6" t="n">
        <v>0</v>
      </c>
      <c r="E107" s="6" t="n">
        <v>1</v>
      </c>
      <c r="F107" s="6" t="n">
        <v>1</v>
      </c>
      <c r="G107" s="6" t="n">
        <v>2</v>
      </c>
      <c r="H107" s="6" t="n">
        <v>2</v>
      </c>
      <c r="I107" s="6" t="n">
        <v>0</v>
      </c>
      <c r="J107" s="6" t="n">
        <v>0</v>
      </c>
      <c r="K107" s="6" t="n">
        <v>2</v>
      </c>
      <c r="L107" s="6" t="n">
        <v>0</v>
      </c>
      <c r="M107" s="5" t="n">
        <f aca="false">IF(AND(K107="",L107=""),"",SUM(K107:L107))</f>
        <v>2</v>
      </c>
      <c r="N107" s="6" t="n">
        <v>1</v>
      </c>
      <c r="O107" s="6" t="n">
        <v>1</v>
      </c>
      <c r="P107" s="10" t="n">
        <f aca="false">IF(OR(M107="",M107=0),"",IF(N107="",0,N107)/M107)</f>
        <v>0.5</v>
      </c>
      <c r="Q107" s="7" t="s">
        <v>60</v>
      </c>
      <c r="R107" s="11" t="n">
        <f aca="false">A107+5</f>
        <v>45633</v>
      </c>
      <c r="S107" s="5" t="n">
        <f aca="false">IF(R107&gt;=DATE(YEAR(R107)+1,1,4)-WEEKDAY(DATE(YEAR(R107)+1,1,4))+1,YEAR(R107)+1,IF(R107&lt;DATE(YEAR(R107),1,4)-WEEKDAY(DATE(YEAR(R107),1,4))+1,YEAR(R107)-1,YEAR(R107)))</f>
        <v>2024</v>
      </c>
      <c r="T107" s="5" t="n">
        <f aca="false">INT((R107-(DATE(S107,1,4)-WEEKDAY(DATE(S107,1,4))+1))/7)+1</f>
        <v>49</v>
      </c>
      <c r="U107" s="5" t="str">
        <f aca="false">IF(T107&gt;=36,S107&amp;"-"&amp;RIGHT(S107+1,2),(S107-1)&amp;"-"&amp;RIGHT(S107,2))</f>
        <v>2024-25</v>
      </c>
    </row>
    <row r="108" customFormat="false" ht="15" hidden="false" customHeight="false" outlineLevel="0" collapsed="false">
      <c r="A108" s="8" t="n">
        <v>45635</v>
      </c>
      <c r="B108" s="6" t="n">
        <v>1</v>
      </c>
      <c r="C108" s="6" t="n">
        <v>5</v>
      </c>
      <c r="D108" s="6" t="n">
        <v>0</v>
      </c>
      <c r="E108" s="6" t="n">
        <v>0</v>
      </c>
      <c r="F108" s="6" t="n">
        <v>0</v>
      </c>
      <c r="G108" s="6" t="n">
        <v>8</v>
      </c>
      <c r="H108" s="6" t="n">
        <v>5</v>
      </c>
      <c r="I108" s="6" t="n">
        <v>0</v>
      </c>
      <c r="J108" s="6" t="n">
        <v>0</v>
      </c>
      <c r="K108" s="6" t="n">
        <v>8</v>
      </c>
      <c r="L108" s="6" t="n">
        <v>0</v>
      </c>
      <c r="M108" s="5" t="n">
        <f aca="false">IF(AND(K108="",L108=""),"",SUM(K108:L108))</f>
        <v>8</v>
      </c>
      <c r="N108" s="6" t="n">
        <v>0</v>
      </c>
      <c r="O108" s="6" t="n">
        <v>8</v>
      </c>
      <c r="P108" s="10" t="n">
        <f aca="false">IF(OR(M108="",M108=0),"",IF(N108="",0,N108)/M108)</f>
        <v>0</v>
      </c>
      <c r="Q108" s="7" t="s">
        <v>60</v>
      </c>
      <c r="R108" s="11" t="n">
        <f aca="false">A108+5</f>
        <v>45640</v>
      </c>
      <c r="S108" s="5" t="n">
        <f aca="false">IF(R108&gt;=DATE(YEAR(R108)+1,1,4)-WEEKDAY(DATE(YEAR(R108)+1,1,4))+1,YEAR(R108)+1,IF(R108&lt;DATE(YEAR(R108),1,4)-WEEKDAY(DATE(YEAR(R108),1,4))+1,YEAR(R108)-1,YEAR(R108)))</f>
        <v>2024</v>
      </c>
      <c r="T108" s="5" t="n">
        <f aca="false">INT((R108-(DATE(S108,1,4)-WEEKDAY(DATE(S108,1,4))+1))/7)+1</f>
        <v>50</v>
      </c>
      <c r="U108" s="5" t="str">
        <f aca="false">IF(T108&gt;=36,S108&amp;"-"&amp;RIGHT(S108+1,2),(S108-1)&amp;"-"&amp;RIGHT(S108,2))</f>
        <v>2024-25</v>
      </c>
    </row>
    <row r="109" customFormat="false" ht="15" hidden="false" customHeight="false" outlineLevel="0" collapsed="false">
      <c r="A109" s="8" t="n">
        <v>45642</v>
      </c>
      <c r="B109" s="6" t="n">
        <v>4</v>
      </c>
      <c r="C109" s="6" t="n">
        <v>11</v>
      </c>
      <c r="D109" s="6" t="n">
        <v>0</v>
      </c>
      <c r="E109" s="6" t="n">
        <v>0</v>
      </c>
      <c r="F109" s="6" t="n">
        <v>0</v>
      </c>
      <c r="G109" s="6" t="n">
        <v>17</v>
      </c>
      <c r="H109" s="6" t="n">
        <v>9</v>
      </c>
      <c r="I109" s="6" t="n">
        <v>0</v>
      </c>
      <c r="J109" s="6" t="n">
        <v>0</v>
      </c>
      <c r="K109" s="6" t="n">
        <v>17</v>
      </c>
      <c r="L109" s="6" t="n">
        <v>0</v>
      </c>
      <c r="M109" s="5" t="n">
        <f aca="false">IF(AND(K109="",L109=""),"",SUM(K109:L109))</f>
        <v>17</v>
      </c>
      <c r="N109" s="6" t="n">
        <v>3</v>
      </c>
      <c r="O109" s="6" t="n">
        <v>14</v>
      </c>
      <c r="P109" s="10" t="n">
        <f aca="false">IF(OR(M109="",M109=0),"",IF(N109="",0,N109)/M109)</f>
        <v>0.176470588235294</v>
      </c>
      <c r="Q109" s="7" t="s">
        <v>60</v>
      </c>
      <c r="R109" s="11" t="n">
        <f aca="false">A109+5</f>
        <v>45647</v>
      </c>
      <c r="S109" s="5" t="n">
        <f aca="false">IF(R109&gt;=DATE(YEAR(R109)+1,1,4)-WEEKDAY(DATE(YEAR(R109)+1,1,4))+1,YEAR(R109)+1,IF(R109&lt;DATE(YEAR(R109),1,4)-WEEKDAY(DATE(YEAR(R109),1,4))+1,YEAR(R109)-1,YEAR(R109)))</f>
        <v>2024</v>
      </c>
      <c r="T109" s="5" t="n">
        <f aca="false">INT((R109-(DATE(S109,1,4)-WEEKDAY(DATE(S109,1,4))+1))/7)+1</f>
        <v>51</v>
      </c>
      <c r="U109" s="5" t="str">
        <f aca="false">IF(T109&gt;=36,S109&amp;"-"&amp;RIGHT(S109+1,2),(S109-1)&amp;"-"&amp;RIGHT(S109,2))</f>
        <v>2024-25</v>
      </c>
    </row>
    <row r="110" customFormat="false" ht="15" hidden="false" customHeight="false" outlineLevel="0" collapsed="false">
      <c r="A110" s="8" t="n">
        <v>45649</v>
      </c>
      <c r="B110" s="6" t="n">
        <v>1</v>
      </c>
      <c r="C110" s="6" t="n">
        <v>19</v>
      </c>
      <c r="D110" s="6" t="n">
        <v>4</v>
      </c>
      <c r="E110" s="6" t="n">
        <v>0</v>
      </c>
      <c r="F110" s="6" t="n">
        <v>0</v>
      </c>
      <c r="G110" s="6" t="n">
        <v>24</v>
      </c>
      <c r="H110" s="6" t="n">
        <v>9</v>
      </c>
      <c r="I110" s="6" t="n">
        <v>9</v>
      </c>
      <c r="J110" s="6" t="n">
        <v>0</v>
      </c>
      <c r="K110" s="6" t="n">
        <v>22</v>
      </c>
      <c r="L110" s="6" t="n">
        <v>2</v>
      </c>
      <c r="M110" s="5" t="n">
        <f aca="false">IF(AND(K110="",L110=""),"",SUM(K110:L110))</f>
        <v>24</v>
      </c>
      <c r="N110" s="6" t="n">
        <v>1</v>
      </c>
      <c r="O110" s="6" t="n">
        <v>23</v>
      </c>
      <c r="P110" s="10" t="n">
        <f aca="false">IF(OR(M110="",M110=0),"",IF(N110="",0,N110)/M110)</f>
        <v>0.0416666666666667</v>
      </c>
      <c r="Q110" s="7" t="s">
        <v>60</v>
      </c>
      <c r="R110" s="11" t="n">
        <f aca="false">A110+5</f>
        <v>45654</v>
      </c>
      <c r="S110" s="5" t="n">
        <f aca="false">IF(R110&gt;=DATE(YEAR(R110)+1,1,4)-WEEKDAY(DATE(YEAR(R110)+1,1,4))+1,YEAR(R110)+1,IF(R110&lt;DATE(YEAR(R110),1,4)-WEEKDAY(DATE(YEAR(R110),1,4))+1,YEAR(R110)-1,YEAR(R110)))</f>
        <v>2024</v>
      </c>
      <c r="T110" s="5" t="n">
        <f aca="false">INT((R110-(DATE(S110,1,4)-WEEKDAY(DATE(S110,1,4))+1))/7)+1</f>
        <v>52</v>
      </c>
      <c r="U110" s="5" t="str">
        <f aca="false">IF(T110&gt;=36,S110&amp;"-"&amp;RIGHT(S110+1,2),(S110-1)&amp;"-"&amp;RIGHT(S110,2))</f>
        <v>2024-25</v>
      </c>
    </row>
    <row r="111" customFormat="false" ht="15" hidden="false" customHeight="false" outlineLevel="0" collapsed="false">
      <c r="A111" s="8" t="n">
        <v>45656</v>
      </c>
      <c r="B111" s="6" t="n">
        <v>2</v>
      </c>
      <c r="C111" s="6" t="n">
        <v>33</v>
      </c>
      <c r="D111" s="6" t="n">
        <v>4</v>
      </c>
      <c r="E111" s="6" t="n">
        <v>0</v>
      </c>
      <c r="F111" s="6" t="n">
        <v>0</v>
      </c>
      <c r="G111" s="6" t="n">
        <v>37</v>
      </c>
      <c r="H111" s="6" t="n">
        <v>8</v>
      </c>
      <c r="I111" s="6" t="n">
        <v>7</v>
      </c>
      <c r="J111" s="6" t="n">
        <v>2</v>
      </c>
      <c r="K111" s="6" t="n">
        <v>35</v>
      </c>
      <c r="L111" s="6" t="n">
        <v>2</v>
      </c>
      <c r="M111" s="5" t="n">
        <f aca="false">IF(AND(K111="",L111=""),"",SUM(K111:L111))</f>
        <v>37</v>
      </c>
      <c r="N111" s="6" t="n">
        <v>3</v>
      </c>
      <c r="O111" s="6" t="n">
        <v>34</v>
      </c>
      <c r="P111" s="10" t="n">
        <f aca="false">IF(OR(M111="",M111=0),"",IF(N111="",0,N111)/M111)</f>
        <v>0.0810810810810811</v>
      </c>
      <c r="Q111" s="7" t="s">
        <v>60</v>
      </c>
      <c r="R111" s="11" t="n">
        <f aca="false">A111+5</f>
        <v>45661</v>
      </c>
      <c r="S111" s="5" t="n">
        <f aca="false">IF(R111&gt;=DATE(YEAR(R111)+1,1,4)-WEEKDAY(DATE(YEAR(R111)+1,1,4))+1,YEAR(R111)+1,IF(R111&lt;DATE(YEAR(R111),1,4)-WEEKDAY(DATE(YEAR(R111),1,4))+1,YEAR(R111)-1,YEAR(R111)))</f>
        <v>2025</v>
      </c>
      <c r="T111" s="5" t="n">
        <f aca="false">INT((R111-(DATE(S111,1,4)-WEEKDAY(DATE(S111,1,4))+1))/7)+1</f>
        <v>1</v>
      </c>
      <c r="U111" s="5" t="str">
        <f aca="false">IF(T111&gt;=36,S111&amp;"-"&amp;RIGHT(S111+1,2),(S111-1)&amp;"-"&amp;RIGHT(S111,2))</f>
        <v>2024-25</v>
      </c>
    </row>
    <row r="112" customFormat="false" ht="15" hidden="false" customHeight="false" outlineLevel="0" collapsed="false">
      <c r="A112" s="8" t="n">
        <v>45663</v>
      </c>
      <c r="B112" s="6" t="n">
        <v>3</v>
      </c>
      <c r="C112" s="6" t="n">
        <v>16</v>
      </c>
      <c r="D112" s="6" t="n">
        <v>1</v>
      </c>
      <c r="E112" s="6" t="n">
        <v>1</v>
      </c>
      <c r="F112" s="6" t="n">
        <v>0</v>
      </c>
      <c r="G112" s="6" t="n">
        <v>24</v>
      </c>
      <c r="H112" s="6" t="n">
        <v>11</v>
      </c>
      <c r="I112" s="6" t="n">
        <v>3</v>
      </c>
      <c r="J112" s="6" t="n">
        <v>0</v>
      </c>
      <c r="K112" s="6" t="n">
        <v>23</v>
      </c>
      <c r="L112" s="6" t="n">
        <v>1</v>
      </c>
      <c r="M112" s="5" t="n">
        <f aca="false">IF(AND(K112="",L112=""),"",SUM(K112:L112))</f>
        <v>24</v>
      </c>
      <c r="N112" s="6" t="n">
        <v>6</v>
      </c>
      <c r="O112" s="6" t="n">
        <v>18</v>
      </c>
      <c r="P112" s="10" t="n">
        <f aca="false">IF(OR(M112="",M112=0),"",IF(N112="",0,N112)/M112)</f>
        <v>0.25</v>
      </c>
      <c r="Q112" s="7" t="s">
        <v>60</v>
      </c>
      <c r="R112" s="11" t="n">
        <f aca="false">A112+5</f>
        <v>45668</v>
      </c>
      <c r="S112" s="5" t="n">
        <f aca="false">IF(R112&gt;=DATE(YEAR(R112)+1,1,4)-WEEKDAY(DATE(YEAR(R112)+1,1,4))+1,YEAR(R112)+1,IF(R112&lt;DATE(YEAR(R112),1,4)-WEEKDAY(DATE(YEAR(R112),1,4))+1,YEAR(R112)-1,YEAR(R112)))</f>
        <v>2025</v>
      </c>
      <c r="T112" s="5" t="n">
        <f aca="false">INT((R112-(DATE(S112,1,4)-WEEKDAY(DATE(S112,1,4))+1))/7)+1</f>
        <v>2</v>
      </c>
      <c r="U112" s="5" t="str">
        <f aca="false">IF(T112&gt;=36,S112&amp;"-"&amp;RIGHT(S112+1,2),(S112-1)&amp;"-"&amp;RIGHT(S112,2))</f>
        <v>2024-25</v>
      </c>
    </row>
    <row r="113" customFormat="false" ht="15" hidden="false" customHeight="false" outlineLevel="0" collapsed="false">
      <c r="A113" s="8" t="n">
        <v>45670</v>
      </c>
      <c r="B113" s="6" t="n">
        <v>4</v>
      </c>
      <c r="C113" s="6" t="n">
        <v>11</v>
      </c>
      <c r="D113" s="6" t="n">
        <v>1</v>
      </c>
      <c r="E113" s="6" t="n">
        <v>0</v>
      </c>
      <c r="F113" s="6" t="n">
        <v>0</v>
      </c>
      <c r="G113" s="6" t="n">
        <v>14</v>
      </c>
      <c r="H113" s="6" t="n">
        <v>4</v>
      </c>
      <c r="I113" s="6" t="n">
        <v>2</v>
      </c>
      <c r="J113" s="6" t="n">
        <v>1</v>
      </c>
      <c r="K113" s="6" t="n">
        <v>13</v>
      </c>
      <c r="L113" s="6" t="n">
        <v>1</v>
      </c>
      <c r="M113" s="5" t="n">
        <f aca="false">IF(AND(K113="",L113=""),"",SUM(K113:L113))</f>
        <v>14</v>
      </c>
      <c r="N113" s="6" t="n">
        <v>0</v>
      </c>
      <c r="O113" s="6" t="n">
        <v>14</v>
      </c>
      <c r="P113" s="10" t="n">
        <f aca="false">IF(OR(M113="",M113=0),"",IF(N113="",0,N113)/M113)</f>
        <v>0</v>
      </c>
      <c r="Q113" s="7" t="s">
        <v>60</v>
      </c>
      <c r="R113" s="11" t="n">
        <f aca="false">A113+5</f>
        <v>45675</v>
      </c>
      <c r="S113" s="5" t="n">
        <f aca="false">IF(R113&gt;=DATE(YEAR(R113)+1,1,4)-WEEKDAY(DATE(YEAR(R113)+1,1,4))+1,YEAR(R113)+1,IF(R113&lt;DATE(YEAR(R113),1,4)-WEEKDAY(DATE(YEAR(R113),1,4))+1,YEAR(R113)-1,YEAR(R113)))</f>
        <v>2025</v>
      </c>
      <c r="T113" s="5" t="n">
        <f aca="false">INT((R113-(DATE(S113,1,4)-WEEKDAY(DATE(S113,1,4))+1))/7)+1</f>
        <v>3</v>
      </c>
      <c r="U113" s="5" t="str">
        <f aca="false">IF(T113&gt;=36,S113&amp;"-"&amp;RIGHT(S113+1,2),(S113-1)&amp;"-"&amp;RIGHT(S113,2))</f>
        <v>2024-25</v>
      </c>
    </row>
    <row r="114" customFormat="false" ht="15" hidden="false" customHeight="false" outlineLevel="0" collapsed="false">
      <c r="A114" s="8" t="n">
        <v>45677</v>
      </c>
      <c r="B114" s="6" t="n">
        <v>3</v>
      </c>
      <c r="C114" s="6" t="n">
        <v>11</v>
      </c>
      <c r="D114" s="6" t="n">
        <v>6</v>
      </c>
      <c r="E114" s="6" t="n">
        <v>0</v>
      </c>
      <c r="F114" s="6" t="n">
        <v>0</v>
      </c>
      <c r="G114" s="6" t="n">
        <v>15</v>
      </c>
      <c r="H114" s="6" t="n">
        <v>5</v>
      </c>
      <c r="I114" s="6" t="n">
        <v>1</v>
      </c>
      <c r="J114" s="6" t="n">
        <v>0</v>
      </c>
      <c r="K114" s="6" t="n">
        <v>14</v>
      </c>
      <c r="L114" s="6" t="n">
        <v>1</v>
      </c>
      <c r="M114" s="5" t="n">
        <f aca="false">IF(AND(K114="",L114=""),"",SUM(K114:L114))</f>
        <v>15</v>
      </c>
      <c r="N114" s="6" t="n">
        <v>1</v>
      </c>
      <c r="O114" s="6" t="n">
        <v>14</v>
      </c>
      <c r="P114" s="10" t="n">
        <f aca="false">IF(OR(M114="",M114=0),"",IF(N114="",0,N114)/M114)</f>
        <v>0.0666666666666667</v>
      </c>
      <c r="Q114" s="7" t="s">
        <v>60</v>
      </c>
      <c r="R114" s="11" t="n">
        <f aca="false">A114+5</f>
        <v>45682</v>
      </c>
      <c r="S114" s="5" t="n">
        <f aca="false">IF(R114&gt;=DATE(YEAR(R114)+1,1,4)-WEEKDAY(DATE(YEAR(R114)+1,1,4))+1,YEAR(R114)+1,IF(R114&lt;DATE(YEAR(R114),1,4)-WEEKDAY(DATE(YEAR(R114),1,4))+1,YEAR(R114)-1,YEAR(R114)))</f>
        <v>2025</v>
      </c>
      <c r="T114" s="5" t="n">
        <f aca="false">INT((R114-(DATE(S114,1,4)-WEEKDAY(DATE(S114,1,4))+1))/7)+1</f>
        <v>4</v>
      </c>
      <c r="U114" s="5" t="str">
        <f aca="false">IF(T114&gt;=36,S114&amp;"-"&amp;RIGHT(S114+1,2),(S114-1)&amp;"-"&amp;RIGHT(S114,2))</f>
        <v>2024-25</v>
      </c>
    </row>
    <row r="115" customFormat="false" ht="15" hidden="false" customHeight="false" outlineLevel="0" collapsed="false">
      <c r="A115" s="8" t="n">
        <v>45684</v>
      </c>
      <c r="B115" s="6" t="n">
        <v>1</v>
      </c>
      <c r="C115" s="6" t="n">
        <v>19</v>
      </c>
      <c r="D115" s="6" t="n">
        <v>12</v>
      </c>
      <c r="E115" s="6" t="n">
        <v>0</v>
      </c>
      <c r="F115" s="6" t="n">
        <v>0</v>
      </c>
      <c r="G115" s="6" t="n">
        <v>24</v>
      </c>
      <c r="H115" s="6" t="n">
        <v>16</v>
      </c>
      <c r="I115" s="6" t="n">
        <v>11</v>
      </c>
      <c r="J115" s="6" t="n">
        <v>9</v>
      </c>
      <c r="K115" s="6" t="n">
        <v>22</v>
      </c>
      <c r="L115" s="6" t="n">
        <v>2</v>
      </c>
      <c r="M115" s="5" t="n">
        <f aca="false">IF(AND(K115="",L115=""),"",SUM(K115:L115))</f>
        <v>24</v>
      </c>
      <c r="N115" s="6" t="n">
        <v>7</v>
      </c>
      <c r="O115" s="6" t="n">
        <v>17</v>
      </c>
      <c r="P115" s="10" t="n">
        <f aca="false">IF(OR(M115="",M115=0),"",IF(N115="",0,N115)/M115)</f>
        <v>0.291666666666667</v>
      </c>
      <c r="Q115" s="7" t="s">
        <v>60</v>
      </c>
      <c r="R115" s="11" t="n">
        <f aca="false">A115+5</f>
        <v>45689</v>
      </c>
      <c r="S115" s="5" t="n">
        <f aca="false">IF(R115&gt;=DATE(YEAR(R115)+1,1,4)-WEEKDAY(DATE(YEAR(R115)+1,1,4))+1,YEAR(R115)+1,IF(R115&lt;DATE(YEAR(R115),1,4)-WEEKDAY(DATE(YEAR(R115),1,4))+1,YEAR(R115)-1,YEAR(R115)))</f>
        <v>2025</v>
      </c>
      <c r="T115" s="5" t="n">
        <f aca="false">INT((R115-(DATE(S115,1,4)-WEEKDAY(DATE(S115,1,4))+1))/7)+1</f>
        <v>5</v>
      </c>
      <c r="U115" s="5" t="str">
        <f aca="false">IF(T115&gt;=36,S115&amp;"-"&amp;RIGHT(S115+1,2),(S115-1)&amp;"-"&amp;RIGHT(S115,2))</f>
        <v>2024-25</v>
      </c>
    </row>
    <row r="116" customFormat="false" ht="15" hidden="false" customHeight="false" outlineLevel="0" collapsed="false">
      <c r="A116" s="8" t="n">
        <v>45691</v>
      </c>
      <c r="B116" s="6" t="n">
        <v>4</v>
      </c>
      <c r="C116" s="6" t="n">
        <v>22</v>
      </c>
      <c r="D116" s="6" t="n">
        <v>7</v>
      </c>
      <c r="E116" s="6" t="n">
        <v>1</v>
      </c>
      <c r="F116" s="6" t="n">
        <v>1</v>
      </c>
      <c r="G116" s="6" t="n">
        <v>26</v>
      </c>
      <c r="H116" s="6" t="n">
        <v>16</v>
      </c>
      <c r="I116" s="6" t="n">
        <v>6</v>
      </c>
      <c r="J116" s="6" t="n">
        <v>6</v>
      </c>
      <c r="K116" s="6" t="n">
        <v>23</v>
      </c>
      <c r="L116" s="6" t="n">
        <v>3</v>
      </c>
      <c r="M116" s="5" t="n">
        <f aca="false">IF(AND(K116="",L116=""),"",SUM(K116:L116))</f>
        <v>26</v>
      </c>
      <c r="N116" s="6" t="n">
        <v>7</v>
      </c>
      <c r="O116" s="6" t="n">
        <v>19</v>
      </c>
      <c r="P116" s="10" t="n">
        <f aca="false">IF(OR(M116="",M116=0),"",IF(N116="",0,N116)/M116)</f>
        <v>0.269230769230769</v>
      </c>
      <c r="Q116" s="7" t="s">
        <v>60</v>
      </c>
      <c r="R116" s="11" t="n">
        <f aca="false">A116+5</f>
        <v>45696</v>
      </c>
      <c r="S116" s="5" t="n">
        <f aca="false">IF(R116&gt;=DATE(YEAR(R116)+1,1,4)-WEEKDAY(DATE(YEAR(R116)+1,1,4))+1,YEAR(R116)+1,IF(R116&lt;DATE(YEAR(R116),1,4)-WEEKDAY(DATE(YEAR(R116),1,4))+1,YEAR(R116)-1,YEAR(R116)))</f>
        <v>2025</v>
      </c>
      <c r="T116" s="5" t="n">
        <f aca="false">INT((R116-(DATE(S116,1,4)-WEEKDAY(DATE(S116,1,4))+1))/7)+1</f>
        <v>6</v>
      </c>
      <c r="U116" s="5" t="str">
        <f aca="false">IF(T116&gt;=36,S116&amp;"-"&amp;RIGHT(S116+1,2),(S116-1)&amp;"-"&amp;RIGHT(S116,2))</f>
        <v>2024-25</v>
      </c>
    </row>
    <row r="117" customFormat="false" ht="15" hidden="false" customHeight="false" outlineLevel="0" collapsed="false">
      <c r="A117" s="8" t="n">
        <v>45698</v>
      </c>
      <c r="B117" s="6" t="n">
        <v>0</v>
      </c>
      <c r="C117" s="6" t="n">
        <v>13</v>
      </c>
      <c r="D117" s="6" t="n">
        <v>2</v>
      </c>
      <c r="E117" s="6" t="n">
        <v>0</v>
      </c>
      <c r="F117" s="6" t="n">
        <v>0</v>
      </c>
      <c r="G117" s="6" t="n">
        <v>20</v>
      </c>
      <c r="H117" s="6" t="n">
        <v>10</v>
      </c>
      <c r="I117" s="6" t="n">
        <v>4</v>
      </c>
      <c r="J117" s="6" t="n">
        <v>3</v>
      </c>
      <c r="K117" s="6" t="n">
        <v>18</v>
      </c>
      <c r="L117" s="6" t="n">
        <v>2</v>
      </c>
      <c r="M117" s="5" t="n">
        <f aca="false">IF(AND(K117="",L117=""),"",SUM(K117:L117))</f>
        <v>20</v>
      </c>
      <c r="N117" s="6" t="n">
        <v>6</v>
      </c>
      <c r="O117" s="6" t="n">
        <v>14</v>
      </c>
      <c r="P117" s="10" t="n">
        <f aca="false">IF(OR(M117="",M117=0),"",IF(N117="",0,N117)/M117)</f>
        <v>0.3</v>
      </c>
      <c r="Q117" s="7" t="s">
        <v>60</v>
      </c>
      <c r="R117" s="11" t="n">
        <f aca="false">A117+5</f>
        <v>45703</v>
      </c>
      <c r="S117" s="5" t="n">
        <f aca="false">IF(R117&gt;=DATE(YEAR(R117)+1,1,4)-WEEKDAY(DATE(YEAR(R117)+1,1,4))+1,YEAR(R117)+1,IF(R117&lt;DATE(YEAR(R117),1,4)-WEEKDAY(DATE(YEAR(R117),1,4))+1,YEAR(R117)-1,YEAR(R117)))</f>
        <v>2025</v>
      </c>
      <c r="T117" s="5" t="n">
        <f aca="false">INT((R117-(DATE(S117,1,4)-WEEKDAY(DATE(S117,1,4))+1))/7)+1</f>
        <v>7</v>
      </c>
      <c r="U117" s="5" t="str">
        <f aca="false">IF(T117&gt;=36,S117&amp;"-"&amp;RIGHT(S117+1,2),(S117-1)&amp;"-"&amp;RIGHT(S117,2))</f>
        <v>2024-25</v>
      </c>
    </row>
    <row r="118" customFormat="false" ht="15" hidden="false" customHeight="false" outlineLevel="0" collapsed="false">
      <c r="A118" s="8" t="n">
        <v>45705</v>
      </c>
      <c r="B118" s="6" t="n">
        <v>0</v>
      </c>
      <c r="C118" s="6" t="n">
        <v>8</v>
      </c>
      <c r="D118" s="6" t="n">
        <v>11</v>
      </c>
      <c r="E118" s="6" t="n">
        <v>0</v>
      </c>
      <c r="F118" s="6" t="n">
        <v>0</v>
      </c>
      <c r="G118" s="6" t="n">
        <v>9</v>
      </c>
      <c r="H118" s="6" t="n">
        <v>4</v>
      </c>
      <c r="I118" s="6" t="n">
        <v>11</v>
      </c>
      <c r="J118" s="6" t="n">
        <v>7</v>
      </c>
      <c r="K118" s="6" t="n">
        <v>4</v>
      </c>
      <c r="L118" s="6" t="n">
        <v>5</v>
      </c>
      <c r="M118" s="5" t="n">
        <f aca="false">IF(AND(K118="",L118=""),"",SUM(K118:L118))</f>
        <v>9</v>
      </c>
      <c r="N118" s="6" t="n">
        <v>2</v>
      </c>
      <c r="O118" s="6" t="n">
        <v>7</v>
      </c>
      <c r="P118" s="10" t="n">
        <f aca="false">IF(OR(M118="",M118=0),"",IF(N118="",0,N118)/M118)</f>
        <v>0.222222222222222</v>
      </c>
      <c r="Q118" s="7" t="s">
        <v>60</v>
      </c>
      <c r="R118" s="11" t="n">
        <f aca="false">A118+5</f>
        <v>45710</v>
      </c>
      <c r="S118" s="5" t="n">
        <f aca="false">IF(R118&gt;=DATE(YEAR(R118)+1,1,4)-WEEKDAY(DATE(YEAR(R118)+1,1,4))+1,YEAR(R118)+1,IF(R118&lt;DATE(YEAR(R118),1,4)-WEEKDAY(DATE(YEAR(R118),1,4))+1,YEAR(R118)-1,YEAR(R118)))</f>
        <v>2025</v>
      </c>
      <c r="T118" s="5" t="n">
        <f aca="false">INT((R118-(DATE(S118,1,4)-WEEKDAY(DATE(S118,1,4))+1))/7)+1</f>
        <v>8</v>
      </c>
      <c r="U118" s="5" t="str">
        <f aca="false">IF(T118&gt;=36,S118&amp;"-"&amp;RIGHT(S118+1,2),(S118-1)&amp;"-"&amp;RIGHT(S118,2))</f>
        <v>2024-25</v>
      </c>
    </row>
    <row r="119" customFormat="false" ht="15" hidden="false" customHeight="false" outlineLevel="0" collapsed="false">
      <c r="A119" s="8" t="n">
        <v>45712</v>
      </c>
      <c r="B119" s="6" t="n">
        <v>2</v>
      </c>
      <c r="C119" s="6" t="n">
        <v>8</v>
      </c>
      <c r="D119" s="6" t="n">
        <v>3</v>
      </c>
      <c r="E119" s="6" t="n">
        <v>0</v>
      </c>
      <c r="F119" s="6" t="n">
        <v>0</v>
      </c>
      <c r="G119" s="6" t="n">
        <v>8</v>
      </c>
      <c r="H119" s="6" t="n">
        <v>6</v>
      </c>
      <c r="I119" s="6" t="n">
        <v>3</v>
      </c>
      <c r="J119" s="6" t="n">
        <v>3</v>
      </c>
      <c r="K119" s="6" t="n">
        <v>4</v>
      </c>
      <c r="L119" s="6" t="n">
        <v>4</v>
      </c>
      <c r="M119" s="5" t="n">
        <f aca="false">IF(AND(K119="",L119=""),"",SUM(K119:L119))</f>
        <v>8</v>
      </c>
      <c r="N119" s="6" t="n">
        <v>2</v>
      </c>
      <c r="O119" s="6" t="n">
        <v>6</v>
      </c>
      <c r="P119" s="10" t="n">
        <f aca="false">IF(OR(M119="",M119=0),"",IF(N119="",0,N119)/M119)</f>
        <v>0.25</v>
      </c>
      <c r="Q119" s="7" t="s">
        <v>60</v>
      </c>
      <c r="R119" s="11" t="n">
        <f aca="false">A119+5</f>
        <v>45717</v>
      </c>
      <c r="S119" s="5" t="n">
        <f aca="false">IF(R119&gt;=DATE(YEAR(R119)+1,1,4)-WEEKDAY(DATE(YEAR(R119)+1,1,4))+1,YEAR(R119)+1,IF(R119&lt;DATE(YEAR(R119),1,4)-WEEKDAY(DATE(YEAR(R119),1,4))+1,YEAR(R119)-1,YEAR(R119)))</f>
        <v>2025</v>
      </c>
      <c r="T119" s="5" t="n">
        <f aca="false">INT((R119-(DATE(S119,1,4)-WEEKDAY(DATE(S119,1,4))+1))/7)+1</f>
        <v>9</v>
      </c>
      <c r="U119" s="5" t="str">
        <f aca="false">IF(T119&gt;=36,S119&amp;"-"&amp;RIGHT(S119+1,2),(S119-1)&amp;"-"&amp;RIGHT(S119,2))</f>
        <v>2024-25</v>
      </c>
    </row>
    <row r="120" customFormat="false" ht="15" hidden="false" customHeight="false" outlineLevel="0" collapsed="false">
      <c r="A120" s="8" t="n">
        <v>45719</v>
      </c>
      <c r="B120" s="6" t="n">
        <v>1</v>
      </c>
      <c r="C120" s="6" t="n">
        <v>2</v>
      </c>
      <c r="D120" s="6" t="n">
        <v>8</v>
      </c>
      <c r="E120" s="6" t="n">
        <v>0</v>
      </c>
      <c r="F120" s="6" t="n">
        <v>0</v>
      </c>
      <c r="G120" s="6" t="n">
        <v>4</v>
      </c>
      <c r="H120" s="6" t="n">
        <v>1</v>
      </c>
      <c r="I120" s="6" t="n">
        <v>8</v>
      </c>
      <c r="J120" s="6" t="n">
        <v>7</v>
      </c>
      <c r="K120" s="6" t="n">
        <v>3</v>
      </c>
      <c r="L120" s="6" t="n">
        <v>1</v>
      </c>
      <c r="M120" s="5" t="n">
        <f aca="false">IF(AND(K120="",L120=""),"",SUM(K120:L120))</f>
        <v>4</v>
      </c>
      <c r="N120" s="6" t="n">
        <v>1</v>
      </c>
      <c r="O120" s="6" t="n">
        <v>3</v>
      </c>
      <c r="P120" s="10" t="n">
        <f aca="false">IF(OR(M120="",M120=0),"",IF(N120="",0,N120)/M120)</f>
        <v>0.25</v>
      </c>
      <c r="Q120" s="7" t="s">
        <v>60</v>
      </c>
      <c r="R120" s="11" t="n">
        <f aca="false">A120+5</f>
        <v>45724</v>
      </c>
      <c r="S120" s="5" t="n">
        <f aca="false">IF(R120&gt;=DATE(YEAR(R120)+1,1,4)-WEEKDAY(DATE(YEAR(R120)+1,1,4))+1,YEAR(R120)+1,IF(R120&lt;DATE(YEAR(R120),1,4)-WEEKDAY(DATE(YEAR(R120),1,4))+1,YEAR(R120)-1,YEAR(R120)))</f>
        <v>2025</v>
      </c>
      <c r="T120" s="5" t="n">
        <f aca="false">INT((R120-(DATE(S120,1,4)-WEEKDAY(DATE(S120,1,4))+1))/7)+1</f>
        <v>10</v>
      </c>
      <c r="U120" s="5" t="str">
        <f aca="false">IF(T120&gt;=36,S120&amp;"-"&amp;RIGHT(S120+1,2),(S120-1)&amp;"-"&amp;RIGHT(S120,2))</f>
        <v>2024-25</v>
      </c>
    </row>
    <row r="121" customFormat="false" ht="15" hidden="false" customHeight="false" outlineLevel="0" collapsed="false">
      <c r="A121" s="8" t="n">
        <v>45726</v>
      </c>
      <c r="B121" s="6" t="n">
        <v>1</v>
      </c>
      <c r="C121" s="6" t="n">
        <v>6</v>
      </c>
      <c r="D121" s="6" t="n">
        <v>2</v>
      </c>
      <c r="E121" s="6" t="n">
        <v>0</v>
      </c>
      <c r="F121" s="6" t="n">
        <v>0</v>
      </c>
      <c r="G121" s="6" t="n">
        <v>5</v>
      </c>
      <c r="H121" s="6" t="n">
        <v>4</v>
      </c>
      <c r="I121" s="6" t="n">
        <v>1</v>
      </c>
      <c r="J121" s="6" t="n">
        <v>1</v>
      </c>
      <c r="K121" s="6" t="n">
        <v>2</v>
      </c>
      <c r="L121" s="6" t="n">
        <v>3</v>
      </c>
      <c r="M121" s="5" t="n">
        <f aca="false">IF(AND(K121="",L121=""),"",SUM(K121:L121))</f>
        <v>5</v>
      </c>
      <c r="N121" s="6" t="n">
        <v>1</v>
      </c>
      <c r="O121" s="6" t="n">
        <v>4</v>
      </c>
      <c r="P121" s="10" t="n">
        <f aca="false">IF(OR(M121="",M121=0),"",IF(N121="",0,N121)/M121)</f>
        <v>0.2</v>
      </c>
      <c r="Q121" s="7" t="s">
        <v>60</v>
      </c>
      <c r="R121" s="11" t="n">
        <f aca="false">A121+5</f>
        <v>45731</v>
      </c>
      <c r="S121" s="5" t="n">
        <f aca="false">IF(R121&gt;=DATE(YEAR(R121)+1,1,4)-WEEKDAY(DATE(YEAR(R121)+1,1,4))+1,YEAR(R121)+1,IF(R121&lt;DATE(YEAR(R121),1,4)-WEEKDAY(DATE(YEAR(R121),1,4))+1,YEAR(R121)-1,YEAR(R121)))</f>
        <v>2025</v>
      </c>
      <c r="T121" s="5" t="n">
        <f aca="false">INT((R121-(DATE(S121,1,4)-WEEKDAY(DATE(S121,1,4))+1))/7)+1</f>
        <v>11</v>
      </c>
      <c r="U121" s="5" t="str">
        <f aca="false">IF(T121&gt;=36,S121&amp;"-"&amp;RIGHT(S121+1,2),(S121-1)&amp;"-"&amp;RIGHT(S121,2))</f>
        <v>2024-25</v>
      </c>
    </row>
    <row r="122" customFormat="false" ht="15" hidden="false" customHeight="false" outlineLevel="0" collapsed="false">
      <c r="A122" s="8" t="n">
        <v>45733</v>
      </c>
      <c r="B122" s="6" t="n">
        <v>0</v>
      </c>
      <c r="C122" s="6" t="n">
        <v>5</v>
      </c>
      <c r="D122" s="6" t="n">
        <v>2</v>
      </c>
      <c r="E122" s="6" t="n">
        <v>0</v>
      </c>
      <c r="F122" s="6" t="n">
        <v>0</v>
      </c>
      <c r="G122" s="6" t="n">
        <v>3</v>
      </c>
      <c r="H122" s="6" t="n">
        <v>2</v>
      </c>
      <c r="I122" s="6" t="n">
        <v>2</v>
      </c>
      <c r="J122" s="6" t="n">
        <v>2</v>
      </c>
      <c r="K122" s="6" t="n">
        <v>2</v>
      </c>
      <c r="L122" s="6" t="n">
        <v>1</v>
      </c>
      <c r="M122" s="5" t="n">
        <f aca="false">IF(AND(K122="",L122=""),"",SUM(K122:L122))</f>
        <v>3</v>
      </c>
      <c r="N122" s="6" t="n">
        <v>1</v>
      </c>
      <c r="O122" s="6" t="n">
        <v>2</v>
      </c>
      <c r="P122" s="10" t="n">
        <f aca="false">IF(OR(M122="",M122=0),"",IF(N122="",0,N122)/M122)</f>
        <v>0.333333333333333</v>
      </c>
      <c r="Q122" s="7" t="s">
        <v>60</v>
      </c>
      <c r="R122" s="11" t="n">
        <f aca="false">A122+5</f>
        <v>45738</v>
      </c>
      <c r="S122" s="5" t="n">
        <f aca="false">IF(R122&gt;=DATE(YEAR(R122)+1,1,4)-WEEKDAY(DATE(YEAR(R122)+1,1,4))+1,YEAR(R122)+1,IF(R122&lt;DATE(YEAR(R122),1,4)-WEEKDAY(DATE(YEAR(R122),1,4))+1,YEAR(R122)-1,YEAR(R122)))</f>
        <v>2025</v>
      </c>
      <c r="T122" s="5" t="n">
        <f aca="false">INT((R122-(DATE(S122,1,4)-WEEKDAY(DATE(S122,1,4))+1))/7)+1</f>
        <v>12</v>
      </c>
      <c r="U122" s="5" t="str">
        <f aca="false">IF(T122&gt;=36,S122&amp;"-"&amp;RIGHT(S122+1,2),(S122-1)&amp;"-"&amp;RIGHT(S122,2))</f>
        <v>2024-25</v>
      </c>
    </row>
    <row r="123" customFormat="false" ht="15" hidden="false" customHeight="false" outlineLevel="0" collapsed="false">
      <c r="A123" s="8" t="n">
        <v>45740</v>
      </c>
      <c r="B123" s="6" t="n">
        <v>4</v>
      </c>
      <c r="C123" s="6" t="n">
        <v>3</v>
      </c>
      <c r="D123" s="6" t="n">
        <v>0</v>
      </c>
      <c r="E123" s="6" t="n">
        <v>1</v>
      </c>
      <c r="F123" s="6" t="n">
        <v>1</v>
      </c>
      <c r="G123" s="6" t="n">
        <v>5</v>
      </c>
      <c r="H123" s="6" t="n">
        <v>3</v>
      </c>
      <c r="I123" s="6" t="n">
        <v>1</v>
      </c>
      <c r="J123" s="6" t="n">
        <v>0</v>
      </c>
      <c r="K123" s="6" t="n">
        <v>1</v>
      </c>
      <c r="L123" s="6" t="n">
        <v>4</v>
      </c>
      <c r="M123" s="5" t="n">
        <f aca="false">IF(AND(K123="",L123=""),"",SUM(K123:L123))</f>
        <v>5</v>
      </c>
      <c r="N123" s="6" t="n">
        <v>1</v>
      </c>
      <c r="O123" s="6" t="n">
        <v>4</v>
      </c>
      <c r="P123" s="10" t="n">
        <f aca="false">IF(OR(M123="",M123=0),"",IF(N123="",0,N123)/M123)</f>
        <v>0.2</v>
      </c>
      <c r="Q123" s="7" t="s">
        <v>60</v>
      </c>
      <c r="R123" s="11" t="n">
        <f aca="false">A123+5</f>
        <v>45745</v>
      </c>
      <c r="S123" s="5" t="n">
        <f aca="false">IF(R123&gt;=DATE(YEAR(R123)+1,1,4)-WEEKDAY(DATE(YEAR(R123)+1,1,4))+1,YEAR(R123)+1,IF(R123&lt;DATE(YEAR(R123),1,4)-WEEKDAY(DATE(YEAR(R123),1,4))+1,YEAR(R123)-1,YEAR(R123)))</f>
        <v>2025</v>
      </c>
      <c r="T123" s="5" t="n">
        <f aca="false">INT((R123-(DATE(S123,1,4)-WEEKDAY(DATE(S123,1,4))+1))/7)+1</f>
        <v>13</v>
      </c>
      <c r="U123" s="5" t="str">
        <f aca="false">IF(T123&gt;=36,S123&amp;"-"&amp;RIGHT(S123+1,2),(S123-1)&amp;"-"&amp;RIGHT(S123,2))</f>
        <v>2024-25</v>
      </c>
    </row>
    <row r="124" customFormat="false" ht="15" hidden="false" customHeight="false" outlineLevel="0" collapsed="false">
      <c r="A124" s="8" t="n">
        <v>45747</v>
      </c>
      <c r="B124" s="6" t="n">
        <v>1</v>
      </c>
      <c r="C124" s="6" t="n">
        <v>6</v>
      </c>
      <c r="D124" s="6" t="n">
        <v>0</v>
      </c>
      <c r="E124" s="6"/>
      <c r="F124" s="6"/>
      <c r="G124" s="6"/>
      <c r="H124" s="6"/>
      <c r="I124" s="6"/>
      <c r="J124" s="6"/>
      <c r="K124" s="6"/>
      <c r="L124" s="6"/>
      <c r="M124" s="5" t="str">
        <f aca="false">IF(AND(K124="",L124=""),"",SUM(K124:L124))</f>
        <v/>
      </c>
      <c r="N124" s="6"/>
      <c r="O124" s="6"/>
      <c r="P124" s="10" t="str">
        <f aca="false">IF(OR(M124="",M124=0),"",IF(N124="",0,N124)/M124)</f>
        <v/>
      </c>
      <c r="Q124" s="7"/>
      <c r="R124" s="11" t="n">
        <f aca="false">A124+5</f>
        <v>45752</v>
      </c>
      <c r="S124" s="5" t="n">
        <f aca="false">IF(R124&gt;=DATE(YEAR(R124)+1,1,4)-WEEKDAY(DATE(YEAR(R124)+1,1,4))+1,YEAR(R124)+1,IF(R124&lt;DATE(YEAR(R124),1,4)-WEEKDAY(DATE(YEAR(R124),1,4))+1,YEAR(R124)-1,YEAR(R124)))</f>
        <v>2025</v>
      </c>
      <c r="T124" s="5" t="n">
        <f aca="false">INT((R124-(DATE(S124,1,4)-WEEKDAY(DATE(S124,1,4))+1))/7)+1</f>
        <v>14</v>
      </c>
      <c r="U124" s="5" t="str">
        <f aca="false">IF(T124&gt;=36,S124&amp;"-"&amp;RIGHT(S124+1,2),(S124-1)&amp;"-"&amp;RIGHT(S124,2))</f>
        <v>2024-25</v>
      </c>
    </row>
    <row r="125" customFormat="false" ht="15" hidden="false" customHeight="false" outlineLevel="0" collapsed="false">
      <c r="A125" s="8" t="n">
        <v>45754</v>
      </c>
      <c r="B125" s="6" t="n">
        <v>1</v>
      </c>
      <c r="C125" s="6" t="n">
        <v>1</v>
      </c>
      <c r="D125" s="6" t="n">
        <v>1</v>
      </c>
      <c r="E125" s="6"/>
      <c r="F125" s="6"/>
      <c r="G125" s="6"/>
      <c r="H125" s="6"/>
      <c r="I125" s="6"/>
      <c r="J125" s="6"/>
      <c r="K125" s="6"/>
      <c r="L125" s="6"/>
      <c r="M125" s="5" t="str">
        <f aca="false">IF(AND(K125="",L125=""),"",SUM(K125:L125))</f>
        <v/>
      </c>
      <c r="N125" s="6"/>
      <c r="O125" s="6"/>
      <c r="P125" s="10" t="str">
        <f aca="false">IF(OR(M125="",M125=0),"",IF(N125="",0,N125)/M125)</f>
        <v/>
      </c>
      <c r="Q125" s="7"/>
      <c r="R125" s="11" t="n">
        <f aca="false">A125+5</f>
        <v>45759</v>
      </c>
      <c r="S125" s="5" t="n">
        <f aca="false">IF(R125&gt;=DATE(YEAR(R125)+1,1,4)-WEEKDAY(DATE(YEAR(R125)+1,1,4))+1,YEAR(R125)+1,IF(R125&lt;DATE(YEAR(R125),1,4)-WEEKDAY(DATE(YEAR(R125),1,4))+1,YEAR(R125)-1,YEAR(R125)))</f>
        <v>2025</v>
      </c>
      <c r="T125" s="5" t="n">
        <f aca="false">INT((R125-(DATE(S125,1,4)-WEEKDAY(DATE(S125,1,4))+1))/7)+1</f>
        <v>15</v>
      </c>
      <c r="U125" s="5" t="str">
        <f aca="false">IF(T125&gt;=36,S125&amp;"-"&amp;RIGHT(S125+1,2),(S125-1)&amp;"-"&amp;RIGHT(S125,2))</f>
        <v>2024-25</v>
      </c>
    </row>
    <row r="126" customFormat="false" ht="15" hidden="false" customHeight="false" outlineLevel="0" collapsed="false">
      <c r="A126" s="8" t="n">
        <v>45761</v>
      </c>
      <c r="B126" s="6" t="n">
        <v>4</v>
      </c>
      <c r="C126" s="6" t="n">
        <v>0</v>
      </c>
      <c r="D126" s="6" t="n">
        <v>0</v>
      </c>
      <c r="E126" s="6"/>
      <c r="F126" s="6"/>
      <c r="G126" s="6"/>
      <c r="H126" s="6"/>
      <c r="I126" s="6"/>
      <c r="J126" s="6"/>
      <c r="K126" s="6"/>
      <c r="L126" s="6"/>
      <c r="M126" s="5" t="str">
        <f aca="false">IF(AND(K126="",L126=""),"",SUM(K126:L126))</f>
        <v/>
      </c>
      <c r="N126" s="6"/>
      <c r="O126" s="6"/>
      <c r="P126" s="10" t="str">
        <f aca="false">IF(OR(M126="",M126=0),"",IF(N126="",0,N126)/M126)</f>
        <v/>
      </c>
      <c r="Q126" s="7"/>
      <c r="R126" s="11" t="n">
        <f aca="false">A126+5</f>
        <v>45766</v>
      </c>
      <c r="S126" s="5" t="n">
        <f aca="false">IF(R126&gt;=DATE(YEAR(R126)+1,1,4)-WEEKDAY(DATE(YEAR(R126)+1,1,4))+1,YEAR(R126)+1,IF(R126&lt;DATE(YEAR(R126),1,4)-WEEKDAY(DATE(YEAR(R126),1,4))+1,YEAR(R126)-1,YEAR(R126)))</f>
        <v>2025</v>
      </c>
      <c r="T126" s="5" t="n">
        <f aca="false">INT((R126-(DATE(S126,1,4)-WEEKDAY(DATE(S126,1,4))+1))/7)+1</f>
        <v>16</v>
      </c>
      <c r="U126" s="5" t="str">
        <f aca="false">IF(T126&gt;=36,S126&amp;"-"&amp;RIGHT(S126+1,2),(S126-1)&amp;"-"&amp;RIGHT(S126,2))</f>
        <v>2024-25</v>
      </c>
    </row>
    <row r="127" customFormat="false" ht="15" hidden="false" customHeight="false" outlineLevel="0" collapsed="false">
      <c r="A127" s="8" t="n">
        <v>45768</v>
      </c>
      <c r="B127" s="6" t="n">
        <v>1</v>
      </c>
      <c r="C127" s="6" t="n">
        <v>2</v>
      </c>
      <c r="D127" s="6" t="n">
        <v>1</v>
      </c>
      <c r="E127" s="6"/>
      <c r="F127" s="6"/>
      <c r="G127" s="6"/>
      <c r="H127" s="6"/>
      <c r="I127" s="6"/>
      <c r="J127" s="6"/>
      <c r="K127" s="6"/>
      <c r="L127" s="6"/>
      <c r="M127" s="5" t="str">
        <f aca="false">IF(AND(K127="",L127=""),"",SUM(K127:L127))</f>
        <v/>
      </c>
      <c r="N127" s="6"/>
      <c r="O127" s="6"/>
      <c r="P127" s="10" t="str">
        <f aca="false">IF(OR(M127="",M127=0),"",IF(N127="",0,N127)/M127)</f>
        <v/>
      </c>
      <c r="Q127" s="7"/>
      <c r="R127" s="11" t="n">
        <f aca="false">A127+5</f>
        <v>45773</v>
      </c>
      <c r="S127" s="5" t="n">
        <f aca="false">IF(R127&gt;=DATE(YEAR(R127)+1,1,4)-WEEKDAY(DATE(YEAR(R127)+1,1,4))+1,YEAR(R127)+1,IF(R127&lt;DATE(YEAR(R127),1,4)-WEEKDAY(DATE(YEAR(R127),1,4))+1,YEAR(R127)-1,YEAR(R127)))</f>
        <v>2025</v>
      </c>
      <c r="T127" s="5" t="n">
        <f aca="false">INT((R127-(DATE(S127,1,4)-WEEKDAY(DATE(S127,1,4))+1))/7)+1</f>
        <v>17</v>
      </c>
      <c r="U127" s="5" t="str">
        <f aca="false">IF(T127&gt;=36,S127&amp;"-"&amp;RIGHT(S127+1,2),(S127-1)&amp;"-"&amp;RIGHT(S127,2))</f>
        <v>2024-25</v>
      </c>
    </row>
    <row r="128" customFormat="false" ht="15" hidden="false" customHeight="false" outlineLevel="0" collapsed="false">
      <c r="A128" s="8" t="n">
        <v>45775</v>
      </c>
      <c r="B128" s="6" t="n">
        <v>2</v>
      </c>
      <c r="C128" s="6" t="n">
        <v>0</v>
      </c>
      <c r="D128" s="6" t="n">
        <v>0</v>
      </c>
      <c r="E128" s="6"/>
      <c r="F128" s="6"/>
      <c r="G128" s="6"/>
      <c r="H128" s="6"/>
      <c r="I128" s="6"/>
      <c r="J128" s="6"/>
      <c r="K128" s="6"/>
      <c r="L128" s="6"/>
      <c r="M128" s="5" t="str">
        <f aca="false">IF(AND(K128="",L128=""),"",SUM(K128:L128))</f>
        <v/>
      </c>
      <c r="N128" s="6"/>
      <c r="O128" s="6"/>
      <c r="P128" s="10" t="str">
        <f aca="false">IF(OR(M128="",M128=0),"",IF(N128="",0,N128)/M128)</f>
        <v/>
      </c>
      <c r="Q128" s="7"/>
      <c r="R128" s="11" t="n">
        <f aca="false">A128+5</f>
        <v>45780</v>
      </c>
      <c r="S128" s="5" t="n">
        <f aca="false">IF(R128&gt;=DATE(YEAR(R128)+1,1,4)-WEEKDAY(DATE(YEAR(R128)+1,1,4))+1,YEAR(R128)+1,IF(R128&lt;DATE(YEAR(R128),1,4)-WEEKDAY(DATE(YEAR(R128),1,4))+1,YEAR(R128)-1,YEAR(R128)))</f>
        <v>2025</v>
      </c>
      <c r="T128" s="5" t="n">
        <f aca="false">INT((R128-(DATE(S128,1,4)-WEEKDAY(DATE(S128,1,4))+1))/7)+1</f>
        <v>18</v>
      </c>
      <c r="U128" s="5" t="str">
        <f aca="false">IF(T128&gt;=36,S128&amp;"-"&amp;RIGHT(S128+1,2),(S128-1)&amp;"-"&amp;RIGHT(S128,2))</f>
        <v>2024-25</v>
      </c>
    </row>
    <row r="129" customFormat="false" ht="15" hidden="false" customHeight="false" outlineLevel="0" collapsed="false">
      <c r="A129" s="8" t="n">
        <v>45782</v>
      </c>
      <c r="B129" s="6" t="n">
        <v>1</v>
      </c>
      <c r="C129" s="6" t="n">
        <v>0</v>
      </c>
      <c r="D129" s="6" t="n">
        <v>0</v>
      </c>
      <c r="E129" s="6"/>
      <c r="F129" s="6"/>
      <c r="G129" s="6"/>
      <c r="H129" s="6"/>
      <c r="I129" s="6"/>
      <c r="J129" s="6"/>
      <c r="K129" s="6"/>
      <c r="L129" s="6"/>
      <c r="M129" s="5" t="str">
        <f aca="false">IF(AND(K129="",L129=""),"",SUM(K129:L129))</f>
        <v/>
      </c>
      <c r="N129" s="6"/>
      <c r="O129" s="6"/>
      <c r="P129" s="10" t="str">
        <f aca="false">IF(OR(M129="",M129=0),"",IF(N129="",0,N129)/M129)</f>
        <v/>
      </c>
      <c r="Q129" s="7"/>
      <c r="R129" s="11" t="n">
        <f aca="false">A129+5</f>
        <v>45787</v>
      </c>
      <c r="S129" s="5" t="n">
        <f aca="false">IF(R129&gt;=DATE(YEAR(R129)+1,1,4)-WEEKDAY(DATE(YEAR(R129)+1,1,4))+1,YEAR(R129)+1,IF(R129&lt;DATE(YEAR(R129),1,4)-WEEKDAY(DATE(YEAR(R129),1,4))+1,YEAR(R129)-1,YEAR(R129)))</f>
        <v>2025</v>
      </c>
      <c r="T129" s="5" t="n">
        <f aca="false">INT((R129-(DATE(S129,1,4)-WEEKDAY(DATE(S129,1,4))+1))/7)+1</f>
        <v>19</v>
      </c>
      <c r="U129" s="5" t="str">
        <f aca="false">IF(T129&gt;=36,S129&amp;"-"&amp;RIGHT(S129+1,2),(S129-1)&amp;"-"&amp;RIGHT(S129,2))</f>
        <v>2024-25</v>
      </c>
    </row>
    <row r="130" customFormat="false" ht="15" hidden="false" customHeight="false" outlineLevel="0" collapsed="false">
      <c r="A130" s="8" t="n">
        <v>45789</v>
      </c>
      <c r="B130" s="6" t="n">
        <v>0</v>
      </c>
      <c r="C130" s="6" t="n">
        <v>1</v>
      </c>
      <c r="D130" s="6" t="n">
        <v>0</v>
      </c>
      <c r="E130" s="6"/>
      <c r="F130" s="6"/>
      <c r="G130" s="6"/>
      <c r="H130" s="6"/>
      <c r="I130" s="6"/>
      <c r="J130" s="6"/>
      <c r="K130" s="6"/>
      <c r="L130" s="6"/>
      <c r="M130" s="5" t="str">
        <f aca="false">IF(AND(K130="",L130=""),"",SUM(K130:L130))</f>
        <v/>
      </c>
      <c r="N130" s="6"/>
      <c r="O130" s="6"/>
      <c r="P130" s="10" t="str">
        <f aca="false">IF(OR(M130="",M130=0),"",IF(N130="",0,N130)/M130)</f>
        <v/>
      </c>
      <c r="Q130" s="7"/>
      <c r="R130" s="11" t="n">
        <f aca="false">A130+5</f>
        <v>45794</v>
      </c>
      <c r="S130" s="5" t="n">
        <f aca="false">IF(R130&gt;=DATE(YEAR(R130)+1,1,4)-WEEKDAY(DATE(YEAR(R130)+1,1,4))+1,YEAR(R130)+1,IF(R130&lt;DATE(YEAR(R130),1,4)-WEEKDAY(DATE(YEAR(R130),1,4))+1,YEAR(R130)-1,YEAR(R130)))</f>
        <v>2025</v>
      </c>
      <c r="T130" s="5" t="n">
        <f aca="false">INT((R130-(DATE(S130,1,4)-WEEKDAY(DATE(S130,1,4))+1))/7)+1</f>
        <v>20</v>
      </c>
      <c r="U130" s="5" t="str">
        <f aca="false">IF(T130&gt;=36,S130&amp;"-"&amp;RIGHT(S130+1,2),(S130-1)&amp;"-"&amp;RIGHT(S130,2))</f>
        <v>2024-25</v>
      </c>
    </row>
    <row r="131" customFormat="false" ht="15" hidden="false" customHeight="false" outlineLevel="0" collapsed="false">
      <c r="A131" s="8" t="n">
        <v>45796</v>
      </c>
      <c r="B131" s="6" t="n">
        <v>1</v>
      </c>
      <c r="C131" s="6" t="n">
        <v>1</v>
      </c>
      <c r="D131" s="6" t="n">
        <v>0</v>
      </c>
      <c r="E131" s="6"/>
      <c r="F131" s="6"/>
      <c r="G131" s="6"/>
      <c r="H131" s="6"/>
      <c r="I131" s="6"/>
      <c r="J131" s="6"/>
      <c r="K131" s="6"/>
      <c r="L131" s="6"/>
      <c r="M131" s="5" t="str">
        <f aca="false">IF(AND(K131="",L131=""),"",SUM(K131:L131))</f>
        <v/>
      </c>
      <c r="N131" s="6"/>
      <c r="O131" s="6"/>
      <c r="P131" s="10" t="str">
        <f aca="false">IF(OR(M131="",M131=0),"",IF(N131="",0,N131)/M131)</f>
        <v/>
      </c>
      <c r="Q131" s="7"/>
      <c r="R131" s="11" t="n">
        <f aca="false">A131+5</f>
        <v>45801</v>
      </c>
      <c r="S131" s="5" t="n">
        <f aca="false">IF(R131&gt;=DATE(YEAR(R131)+1,1,4)-WEEKDAY(DATE(YEAR(R131)+1,1,4))+1,YEAR(R131)+1,IF(R131&lt;DATE(YEAR(R131),1,4)-WEEKDAY(DATE(YEAR(R131),1,4))+1,YEAR(R131)-1,YEAR(R131)))</f>
        <v>2025</v>
      </c>
      <c r="T131" s="5" t="n">
        <f aca="false">INT((R131-(DATE(S131,1,4)-WEEKDAY(DATE(S131,1,4))+1))/7)+1</f>
        <v>21</v>
      </c>
      <c r="U131" s="5" t="str">
        <f aca="false">IF(T131&gt;=36,S131&amp;"-"&amp;RIGHT(S131+1,2),(S131-1)&amp;"-"&amp;RIGHT(S131,2))</f>
        <v>2024-25</v>
      </c>
    </row>
    <row r="132" customFormat="false" ht="15" hidden="false" customHeight="false" outlineLevel="0" collapsed="false">
      <c r="A132" s="8" t="n">
        <v>45803</v>
      </c>
      <c r="B132" s="6" t="n">
        <v>1</v>
      </c>
      <c r="C132" s="6" t="n">
        <v>2</v>
      </c>
      <c r="D132" s="6" t="n">
        <v>0</v>
      </c>
      <c r="E132" s="6"/>
      <c r="F132" s="6"/>
      <c r="G132" s="6"/>
      <c r="H132" s="6"/>
      <c r="I132" s="6"/>
      <c r="J132" s="6"/>
      <c r="K132" s="6"/>
      <c r="L132" s="6"/>
      <c r="M132" s="5" t="str">
        <f aca="false">IF(AND(K132="",L132=""),"",SUM(K132:L132))</f>
        <v/>
      </c>
      <c r="N132" s="6"/>
      <c r="O132" s="6"/>
      <c r="P132" s="10" t="str">
        <f aca="false">IF(OR(M132="",M132=0),"",IF(N132="",0,N132)/M132)</f>
        <v/>
      </c>
      <c r="Q132" s="7"/>
      <c r="R132" s="11" t="n">
        <f aca="false">A132+5</f>
        <v>45808</v>
      </c>
      <c r="S132" s="5" t="n">
        <f aca="false">IF(R132&gt;=DATE(YEAR(R132)+1,1,4)-WEEKDAY(DATE(YEAR(R132)+1,1,4))+1,YEAR(R132)+1,IF(R132&lt;DATE(YEAR(R132),1,4)-WEEKDAY(DATE(YEAR(R132),1,4))+1,YEAR(R132)-1,YEAR(R132)))</f>
        <v>2025</v>
      </c>
      <c r="T132" s="5" t="n">
        <f aca="false">INT((R132-(DATE(S132,1,4)-WEEKDAY(DATE(S132,1,4))+1))/7)+1</f>
        <v>22</v>
      </c>
      <c r="U132" s="5" t="str">
        <f aca="false">IF(T132&gt;=36,S132&amp;"-"&amp;RIGHT(S132+1,2),(S132-1)&amp;"-"&amp;RIGHT(S132,2))</f>
        <v>2024-25</v>
      </c>
    </row>
    <row r="133" customFormat="false" ht="15" hidden="false" customHeight="false" outlineLevel="0" collapsed="false">
      <c r="A133" s="8" t="n">
        <v>45810</v>
      </c>
      <c r="B133" s="6" t="n">
        <v>0</v>
      </c>
      <c r="C133" s="6" t="n">
        <v>29</v>
      </c>
      <c r="D133" s="6" t="n">
        <v>0</v>
      </c>
      <c r="E133" s="6"/>
      <c r="F133" s="6"/>
      <c r="G133" s="6"/>
      <c r="H133" s="6"/>
      <c r="I133" s="6"/>
      <c r="J133" s="6"/>
      <c r="K133" s="6"/>
      <c r="L133" s="6"/>
      <c r="M133" s="5" t="str">
        <f aca="false">IF(AND(K133="",L133=""),"",SUM(K133:L133))</f>
        <v/>
      </c>
      <c r="N133" s="6"/>
      <c r="O133" s="6"/>
      <c r="P133" s="10" t="str">
        <f aca="false">IF(OR(M133="",M133=0),"",IF(N133="",0,N133)/M133)</f>
        <v/>
      </c>
      <c r="Q133" s="7"/>
      <c r="R133" s="11" t="n">
        <f aca="false">A133+5</f>
        <v>45815</v>
      </c>
      <c r="S133" s="5" t="n">
        <f aca="false">IF(R133&gt;=DATE(YEAR(R133)+1,1,4)-WEEKDAY(DATE(YEAR(R133)+1,1,4))+1,YEAR(R133)+1,IF(R133&lt;DATE(YEAR(R133),1,4)-WEEKDAY(DATE(YEAR(R133),1,4))+1,YEAR(R133)-1,YEAR(R133)))</f>
        <v>2025</v>
      </c>
      <c r="T133" s="5" t="n">
        <f aca="false">INT((R133-(DATE(S133,1,4)-WEEKDAY(DATE(S133,1,4))+1))/7)+1</f>
        <v>23</v>
      </c>
      <c r="U133" s="5" t="str">
        <f aca="false">IF(T133&gt;=36,S133&amp;"-"&amp;RIGHT(S133+1,2),(S133-1)&amp;"-"&amp;RIGHT(S133,2))</f>
        <v>2024-25</v>
      </c>
    </row>
    <row r="134" customFormat="false" ht="15" hidden="false" customHeight="false" outlineLevel="0" collapsed="false">
      <c r="A134" s="8" t="n">
        <v>45817</v>
      </c>
      <c r="B134" s="6" t="n">
        <v>0</v>
      </c>
      <c r="C134" s="6" t="n">
        <v>26</v>
      </c>
      <c r="D134" s="6" t="n">
        <v>0</v>
      </c>
      <c r="E134" s="6"/>
      <c r="F134" s="6"/>
      <c r="G134" s="6"/>
      <c r="H134" s="6"/>
      <c r="I134" s="6"/>
      <c r="J134" s="6"/>
      <c r="K134" s="6"/>
      <c r="L134" s="6"/>
      <c r="M134" s="5" t="str">
        <f aca="false">IF(AND(K134="",L134=""),"",SUM(K134:L134))</f>
        <v/>
      </c>
      <c r="N134" s="6"/>
      <c r="O134" s="6"/>
      <c r="P134" s="10" t="str">
        <f aca="false">IF(OR(M134="",M134=0),"",IF(N134="",0,N134)/M134)</f>
        <v/>
      </c>
      <c r="Q134" s="7"/>
      <c r="R134" s="11" t="n">
        <f aca="false">A134+5</f>
        <v>45822</v>
      </c>
      <c r="S134" s="5" t="n">
        <f aca="false">IF(R134&gt;=DATE(YEAR(R134)+1,1,4)-WEEKDAY(DATE(YEAR(R134)+1,1,4))+1,YEAR(R134)+1,IF(R134&lt;DATE(YEAR(R134),1,4)-WEEKDAY(DATE(YEAR(R134),1,4))+1,YEAR(R134)-1,YEAR(R134)))</f>
        <v>2025</v>
      </c>
      <c r="T134" s="5" t="n">
        <f aca="false">INT((R134-(DATE(S134,1,4)-WEEKDAY(DATE(S134,1,4))+1))/7)+1</f>
        <v>24</v>
      </c>
      <c r="U134" s="5" t="str">
        <f aca="false">IF(T134&gt;=36,S134&amp;"-"&amp;RIGHT(S134+1,2),(S134-1)&amp;"-"&amp;RIGHT(S134,2))</f>
        <v>2024-25</v>
      </c>
    </row>
    <row r="135" customFormat="false" ht="15" hidden="false" customHeight="false" outlineLevel="0" collapsed="false">
      <c r="A135" s="8" t="n">
        <v>45824</v>
      </c>
      <c r="B135" s="6" t="n">
        <v>1</v>
      </c>
      <c r="C135" s="6" t="n">
        <v>6</v>
      </c>
      <c r="D135" s="6" t="n">
        <v>0</v>
      </c>
      <c r="E135" s="6"/>
      <c r="F135" s="6"/>
      <c r="G135" s="6"/>
      <c r="H135" s="6"/>
      <c r="I135" s="6"/>
      <c r="J135" s="6"/>
      <c r="K135" s="6"/>
      <c r="L135" s="6"/>
      <c r="M135" s="5" t="str">
        <f aca="false">IF(AND(K135="",L135=""),"",SUM(K135:L135))</f>
        <v/>
      </c>
      <c r="N135" s="6"/>
      <c r="O135" s="6"/>
      <c r="P135" s="10" t="str">
        <f aca="false">IF(OR(M135="",M135=0),"",IF(N135="",0,N135)/M135)</f>
        <v/>
      </c>
      <c r="Q135" s="7"/>
      <c r="R135" s="11" t="n">
        <f aca="false">A135+5</f>
        <v>45829</v>
      </c>
      <c r="S135" s="5" t="n">
        <f aca="false">IF(R135&gt;=DATE(YEAR(R135)+1,1,4)-WEEKDAY(DATE(YEAR(R135)+1,1,4))+1,YEAR(R135)+1,IF(R135&lt;DATE(YEAR(R135),1,4)-WEEKDAY(DATE(YEAR(R135),1,4))+1,YEAR(R135)-1,YEAR(R135)))</f>
        <v>2025</v>
      </c>
      <c r="T135" s="5" t="n">
        <f aca="false">INT((R135-(DATE(S135,1,4)-WEEKDAY(DATE(S135,1,4))+1))/7)+1</f>
        <v>25</v>
      </c>
      <c r="U135" s="5" t="str">
        <f aca="false">IF(T135&gt;=36,S135&amp;"-"&amp;RIGHT(S135+1,2),(S135-1)&amp;"-"&amp;RIGHT(S135,2))</f>
        <v>2024-25</v>
      </c>
    </row>
    <row r="136" customFormat="false" ht="15" hidden="false" customHeight="false" outlineLevel="0" collapsed="false">
      <c r="A136" s="8" t="n">
        <v>45831</v>
      </c>
      <c r="B136" s="6" t="n">
        <v>0</v>
      </c>
      <c r="C136" s="6" t="n">
        <v>5</v>
      </c>
      <c r="D136" s="6" t="n">
        <v>1</v>
      </c>
      <c r="E136" s="6"/>
      <c r="F136" s="6"/>
      <c r="G136" s="6"/>
      <c r="H136" s="6"/>
      <c r="I136" s="6"/>
      <c r="J136" s="6"/>
      <c r="K136" s="6"/>
      <c r="L136" s="6"/>
      <c r="M136" s="5" t="str">
        <f aca="false">IF(AND(K136="",L136=""),"",SUM(K136:L136))</f>
        <v/>
      </c>
      <c r="N136" s="6"/>
      <c r="O136" s="6"/>
      <c r="P136" s="10" t="str">
        <f aca="false">IF(OR(M136="",M136=0),"",IF(N136="",0,N136)/M136)</f>
        <v/>
      </c>
      <c r="Q136" s="7"/>
      <c r="R136" s="11" t="n">
        <f aca="false">A136+5</f>
        <v>45836</v>
      </c>
      <c r="S136" s="5" t="n">
        <f aca="false">IF(R136&gt;=DATE(YEAR(R136)+1,1,4)-WEEKDAY(DATE(YEAR(R136)+1,1,4))+1,YEAR(R136)+1,IF(R136&lt;DATE(YEAR(R136),1,4)-WEEKDAY(DATE(YEAR(R136),1,4))+1,YEAR(R136)-1,YEAR(R136)))</f>
        <v>2025</v>
      </c>
      <c r="T136" s="5" t="n">
        <f aca="false">INT((R136-(DATE(S136,1,4)-WEEKDAY(DATE(S136,1,4))+1))/7)+1</f>
        <v>26</v>
      </c>
      <c r="U136" s="5" t="str">
        <f aca="false">IF(T136&gt;=36,S136&amp;"-"&amp;RIGHT(S136+1,2),(S136-1)&amp;"-"&amp;RIGHT(S136,2))</f>
        <v>2024-25</v>
      </c>
    </row>
    <row r="137" customFormat="false" ht="15" hidden="false" customHeight="false" outlineLevel="0" collapsed="false">
      <c r="A137" s="8" t="n">
        <v>45838</v>
      </c>
      <c r="B137" s="6" t="n">
        <v>0</v>
      </c>
      <c r="C137" s="6" t="n">
        <v>0</v>
      </c>
      <c r="D137" s="6" t="n">
        <v>0</v>
      </c>
      <c r="E137" s="6"/>
      <c r="F137" s="6"/>
      <c r="G137" s="6"/>
      <c r="H137" s="6"/>
      <c r="I137" s="6"/>
      <c r="J137" s="6"/>
      <c r="K137" s="6"/>
      <c r="L137" s="6"/>
      <c r="M137" s="5" t="str">
        <f aca="false">IF(AND(K137="",L137=""),"",SUM(K137:L137))</f>
        <v/>
      </c>
      <c r="N137" s="6"/>
      <c r="O137" s="6"/>
      <c r="P137" s="10" t="str">
        <f aca="false">IF(OR(M137="",M137=0),"",IF(N137="",0,N137)/M137)</f>
        <v/>
      </c>
      <c r="Q137" s="7"/>
      <c r="R137" s="11" t="n">
        <f aca="false">A137+5</f>
        <v>45843</v>
      </c>
      <c r="S137" s="5" t="n">
        <f aca="false">IF(R137&gt;=DATE(YEAR(R137)+1,1,4)-WEEKDAY(DATE(YEAR(R137)+1,1,4))+1,YEAR(R137)+1,IF(R137&lt;DATE(YEAR(R137),1,4)-WEEKDAY(DATE(YEAR(R137),1,4))+1,YEAR(R137)-1,YEAR(R137)))</f>
        <v>2025</v>
      </c>
      <c r="T137" s="5" t="n">
        <f aca="false">INT((R137-(DATE(S137,1,4)-WEEKDAY(DATE(S137,1,4))+1))/7)+1</f>
        <v>27</v>
      </c>
      <c r="U137" s="5" t="str">
        <f aca="false">IF(T137&gt;=36,S137&amp;"-"&amp;RIGHT(S137+1,2),(S137-1)&amp;"-"&amp;RIGHT(S137,2))</f>
        <v>2024-25</v>
      </c>
    </row>
    <row r="138" customFormat="false" ht="15" hidden="false" customHeight="false" outlineLevel="0" collapsed="false">
      <c r="A138" s="8" t="n">
        <v>45845</v>
      </c>
      <c r="B138" s="6" t="n">
        <v>2</v>
      </c>
      <c r="C138" s="6" t="n">
        <v>0</v>
      </c>
      <c r="D138" s="6" t="n">
        <v>0</v>
      </c>
      <c r="E138" s="6"/>
      <c r="F138" s="6"/>
      <c r="G138" s="6"/>
      <c r="H138" s="6"/>
      <c r="I138" s="6"/>
      <c r="J138" s="6"/>
      <c r="K138" s="6"/>
      <c r="L138" s="6"/>
      <c r="M138" s="5" t="str">
        <f aca="false">IF(AND(K138="",L138=""),"",SUM(K138:L138))</f>
        <v/>
      </c>
      <c r="N138" s="6"/>
      <c r="O138" s="6"/>
      <c r="P138" s="10" t="str">
        <f aca="false">IF(OR(M138="",M138=0),"",IF(N138="",0,N138)/M138)</f>
        <v/>
      </c>
      <c r="Q138" s="7"/>
      <c r="R138" s="11" t="n">
        <f aca="false">A138+5</f>
        <v>45850</v>
      </c>
      <c r="S138" s="5" t="n">
        <f aca="false">IF(R138&gt;=DATE(YEAR(R138)+1,1,4)-WEEKDAY(DATE(YEAR(R138)+1,1,4))+1,YEAR(R138)+1,IF(R138&lt;DATE(YEAR(R138),1,4)-WEEKDAY(DATE(YEAR(R138),1,4))+1,YEAR(R138)-1,YEAR(R138)))</f>
        <v>2025</v>
      </c>
      <c r="T138" s="5" t="n">
        <f aca="false">INT((R138-(DATE(S138,1,4)-WEEKDAY(DATE(S138,1,4))+1))/7)+1</f>
        <v>28</v>
      </c>
      <c r="U138" s="5" t="str">
        <f aca="false">IF(T138&gt;=36,S138&amp;"-"&amp;RIGHT(S138+1,2),(S138-1)&amp;"-"&amp;RIGHT(S138,2))</f>
        <v>2024-25</v>
      </c>
    </row>
    <row r="139" customFormat="false" ht="15" hidden="false" customHeight="false" outlineLevel="0" collapsed="false">
      <c r="A139" s="8" t="n">
        <v>45852</v>
      </c>
      <c r="B139" s="6" t="n">
        <v>3</v>
      </c>
      <c r="C139" s="6" t="n">
        <v>0</v>
      </c>
      <c r="D139" s="6" t="n">
        <v>0</v>
      </c>
      <c r="E139" s="6"/>
      <c r="F139" s="6"/>
      <c r="G139" s="6"/>
      <c r="H139" s="6"/>
      <c r="I139" s="6"/>
      <c r="J139" s="6"/>
      <c r="K139" s="6"/>
      <c r="L139" s="6"/>
      <c r="M139" s="5" t="str">
        <f aca="false">IF(AND(K139="",L139=""),"",SUM(K139:L139))</f>
        <v/>
      </c>
      <c r="N139" s="6"/>
      <c r="O139" s="6"/>
      <c r="P139" s="10" t="str">
        <f aca="false">IF(OR(M139="",M139=0),"",IF(N139="",0,N139)/M139)</f>
        <v/>
      </c>
      <c r="Q139" s="7"/>
      <c r="R139" s="11" t="n">
        <f aca="false">A139+5</f>
        <v>45857</v>
      </c>
      <c r="S139" s="5" t="n">
        <f aca="false">IF(R139&gt;=DATE(YEAR(R139)+1,1,4)-WEEKDAY(DATE(YEAR(R139)+1,1,4))+1,YEAR(R139)+1,IF(R139&lt;DATE(YEAR(R139),1,4)-WEEKDAY(DATE(YEAR(R139),1,4))+1,YEAR(R139)-1,YEAR(R139)))</f>
        <v>2025</v>
      </c>
      <c r="T139" s="5" t="n">
        <f aca="false">INT((R139-(DATE(S139,1,4)-WEEKDAY(DATE(S139,1,4))+1))/7)+1</f>
        <v>29</v>
      </c>
      <c r="U139" s="5" t="str">
        <f aca="false">IF(T139&gt;=36,S139&amp;"-"&amp;RIGHT(S139+1,2),(S139-1)&amp;"-"&amp;RIGHT(S139,2))</f>
        <v>2024-25</v>
      </c>
    </row>
    <row r="140" customFormat="false" ht="15" hidden="false" customHeight="false" outlineLevel="0" collapsed="false">
      <c r="A140" s="8" t="n">
        <v>45859</v>
      </c>
      <c r="B140" s="6" t="n">
        <v>2</v>
      </c>
      <c r="C140" s="6" t="n">
        <v>0</v>
      </c>
      <c r="D140" s="6" t="n">
        <v>0</v>
      </c>
      <c r="E140" s="6"/>
      <c r="F140" s="6"/>
      <c r="G140" s="6"/>
      <c r="H140" s="6"/>
      <c r="I140" s="6"/>
      <c r="J140" s="6"/>
      <c r="K140" s="6"/>
      <c r="L140" s="6"/>
      <c r="M140" s="5" t="str">
        <f aca="false">IF(AND(K140="",L140=""),"",SUM(K140:L140))</f>
        <v/>
      </c>
      <c r="N140" s="6"/>
      <c r="O140" s="6"/>
      <c r="P140" s="10" t="str">
        <f aca="false">IF(OR(M140="",M140=0),"",IF(N140="",0,N140)/M140)</f>
        <v/>
      </c>
      <c r="Q140" s="7"/>
      <c r="R140" s="11" t="n">
        <f aca="false">A140+5</f>
        <v>45864</v>
      </c>
      <c r="S140" s="5" t="n">
        <f aca="false">IF(R140&gt;=DATE(YEAR(R140)+1,1,4)-WEEKDAY(DATE(YEAR(R140)+1,1,4))+1,YEAR(R140)+1,IF(R140&lt;DATE(YEAR(R140),1,4)-WEEKDAY(DATE(YEAR(R140),1,4))+1,YEAR(R140)-1,YEAR(R140)))</f>
        <v>2025</v>
      </c>
      <c r="T140" s="5" t="n">
        <f aca="false">INT((R140-(DATE(S140,1,4)-WEEKDAY(DATE(S140,1,4))+1))/7)+1</f>
        <v>30</v>
      </c>
      <c r="U140" s="5" t="str">
        <f aca="false">IF(T140&gt;=36,S140&amp;"-"&amp;RIGHT(S140+1,2),(S140-1)&amp;"-"&amp;RIGHT(S140,2))</f>
        <v>2024-25</v>
      </c>
    </row>
    <row r="141" customFormat="false" ht="15" hidden="false" customHeight="false" outlineLevel="0" collapsed="false">
      <c r="A141" s="8" t="n">
        <v>45866</v>
      </c>
      <c r="B141" s="6" t="n">
        <v>1</v>
      </c>
      <c r="C141" s="6" t="n">
        <v>0</v>
      </c>
      <c r="D141" s="6" t="n">
        <v>0</v>
      </c>
      <c r="E141" s="6"/>
      <c r="F141" s="6"/>
      <c r="G141" s="6"/>
      <c r="H141" s="6"/>
      <c r="I141" s="6"/>
      <c r="J141" s="6"/>
      <c r="K141" s="6"/>
      <c r="L141" s="6"/>
      <c r="M141" s="5" t="str">
        <f aca="false">IF(AND(K141="",L141=""),"",SUM(K141:L141))</f>
        <v/>
      </c>
      <c r="N141" s="6"/>
      <c r="O141" s="6"/>
      <c r="P141" s="10" t="str">
        <f aca="false">IF(OR(M141="",M141=0),"",IF(N141="",0,N141)/M141)</f>
        <v/>
      </c>
      <c r="Q141" s="7"/>
      <c r="R141" s="11" t="n">
        <f aca="false">A141+5</f>
        <v>45871</v>
      </c>
      <c r="S141" s="5" t="n">
        <f aca="false">IF(R141&gt;=DATE(YEAR(R141)+1,1,4)-WEEKDAY(DATE(YEAR(R141)+1,1,4))+1,YEAR(R141)+1,IF(R141&lt;DATE(YEAR(R141),1,4)-WEEKDAY(DATE(YEAR(R141),1,4))+1,YEAR(R141)-1,YEAR(R141)))</f>
        <v>2025</v>
      </c>
      <c r="T141" s="5" t="n">
        <f aca="false">INT((R141-(DATE(S141,1,4)-WEEKDAY(DATE(S141,1,4))+1))/7)+1</f>
        <v>31</v>
      </c>
      <c r="U141" s="5" t="str">
        <f aca="false">IF(T141&gt;=36,S141&amp;"-"&amp;RIGHT(S141+1,2),(S141-1)&amp;"-"&amp;RIGHT(S141,2))</f>
        <v>2024-25</v>
      </c>
    </row>
    <row r="142" customFormat="false" ht="15" hidden="false" customHeight="false" outlineLevel="0" collapsed="false">
      <c r="A142" s="8" t="n">
        <v>45873</v>
      </c>
      <c r="B142" s="6" t="n">
        <v>1</v>
      </c>
      <c r="C142" s="6" t="n">
        <v>1</v>
      </c>
      <c r="D142" s="6" t="n">
        <v>0</v>
      </c>
      <c r="E142" s="6"/>
      <c r="F142" s="6"/>
      <c r="G142" s="6"/>
      <c r="H142" s="6"/>
      <c r="I142" s="6"/>
      <c r="J142" s="6"/>
      <c r="K142" s="6"/>
      <c r="L142" s="6"/>
      <c r="M142" s="5" t="str">
        <f aca="false">IF(AND(K142="",L142=""),"",SUM(K142:L142))</f>
        <v/>
      </c>
      <c r="N142" s="6"/>
      <c r="O142" s="6"/>
      <c r="P142" s="10" t="str">
        <f aca="false">IF(OR(M142="",M142=0),"",IF(N142="",0,N142)/M142)</f>
        <v/>
      </c>
      <c r="Q142" s="7"/>
      <c r="R142" s="11" t="n">
        <f aca="false">A142+5</f>
        <v>45878</v>
      </c>
      <c r="S142" s="5" t="n">
        <f aca="false">IF(R142&gt;=DATE(YEAR(R142)+1,1,4)-WEEKDAY(DATE(YEAR(R142)+1,1,4))+1,YEAR(R142)+1,IF(R142&lt;DATE(YEAR(R142),1,4)-WEEKDAY(DATE(YEAR(R142),1,4))+1,YEAR(R142)-1,YEAR(R142)))</f>
        <v>2025</v>
      </c>
      <c r="T142" s="5" t="n">
        <f aca="false">INT((R142-(DATE(S142,1,4)-WEEKDAY(DATE(S142,1,4))+1))/7)+1</f>
        <v>32</v>
      </c>
      <c r="U142" s="5" t="str">
        <f aca="false">IF(T142&gt;=36,S142&amp;"-"&amp;RIGHT(S142+1,2),(S142-1)&amp;"-"&amp;RIGHT(S142,2))</f>
        <v>2024-25</v>
      </c>
    </row>
    <row r="143" customFormat="false" ht="15" hidden="false" customHeight="false" outlineLevel="0" collapsed="false">
      <c r="A143" s="8" t="n">
        <v>45880</v>
      </c>
      <c r="B143" s="6" t="n">
        <v>4</v>
      </c>
      <c r="C143" s="6" t="n">
        <v>0</v>
      </c>
      <c r="D143" s="6" t="n">
        <v>0</v>
      </c>
      <c r="E143" s="6"/>
      <c r="F143" s="6"/>
      <c r="G143" s="6"/>
      <c r="H143" s="6"/>
      <c r="I143" s="6"/>
      <c r="J143" s="6"/>
      <c r="K143" s="6"/>
      <c r="L143" s="6"/>
      <c r="M143" s="5" t="str">
        <f aca="false">IF(AND(K143="",L143=""),"",SUM(K143:L143))</f>
        <v/>
      </c>
      <c r="N143" s="6"/>
      <c r="O143" s="6"/>
      <c r="P143" s="10" t="str">
        <f aca="false">IF(OR(M143="",M143=0),"",IF(N143="",0,N143)/M143)</f>
        <v/>
      </c>
      <c r="Q143" s="7"/>
      <c r="R143" s="11" t="n">
        <f aca="false">A143+5</f>
        <v>45885</v>
      </c>
      <c r="S143" s="5" t="n">
        <f aca="false">IF(R143&gt;=DATE(YEAR(R143)+1,1,4)-WEEKDAY(DATE(YEAR(R143)+1,1,4))+1,YEAR(R143)+1,IF(R143&lt;DATE(YEAR(R143),1,4)-WEEKDAY(DATE(YEAR(R143),1,4))+1,YEAR(R143)-1,YEAR(R143)))</f>
        <v>2025</v>
      </c>
      <c r="T143" s="5" t="n">
        <f aca="false">INT((R143-(DATE(S143,1,4)-WEEKDAY(DATE(S143,1,4))+1))/7)+1</f>
        <v>33</v>
      </c>
      <c r="U143" s="5" t="str">
        <f aca="false">IF(T143&gt;=36,S143&amp;"-"&amp;RIGHT(S143+1,2),(S143-1)&amp;"-"&amp;RIGHT(S143,2))</f>
        <v>2024-25</v>
      </c>
    </row>
    <row r="144" customFormat="false" ht="15" hidden="false" customHeight="false" outlineLevel="0" collapsed="false">
      <c r="A144" s="8" t="n">
        <v>45887</v>
      </c>
      <c r="B144" s="6" t="n">
        <v>1</v>
      </c>
      <c r="C144" s="6" t="n">
        <v>0</v>
      </c>
      <c r="D144" s="6" t="n">
        <v>0</v>
      </c>
      <c r="E144" s="6"/>
      <c r="F144" s="6"/>
      <c r="G144" s="6"/>
      <c r="H144" s="6"/>
      <c r="I144" s="6"/>
      <c r="J144" s="6"/>
      <c r="K144" s="6"/>
      <c r="L144" s="6"/>
      <c r="M144" s="5" t="str">
        <f aca="false">IF(AND(K144="",L144=""),"",SUM(K144:L144))</f>
        <v/>
      </c>
      <c r="N144" s="6"/>
      <c r="O144" s="6"/>
      <c r="P144" s="10" t="str">
        <f aca="false">IF(OR(M144="",M144=0),"",IF(N144="",0,N144)/M144)</f>
        <v/>
      </c>
      <c r="Q144" s="7"/>
      <c r="R144" s="11" t="n">
        <f aca="false">A144+5</f>
        <v>45892</v>
      </c>
      <c r="S144" s="5" t="n">
        <f aca="false">IF(R144&gt;=DATE(YEAR(R144)+1,1,4)-WEEKDAY(DATE(YEAR(R144)+1,1,4))+1,YEAR(R144)+1,IF(R144&lt;DATE(YEAR(R144),1,4)-WEEKDAY(DATE(YEAR(R144),1,4))+1,YEAR(R144)-1,YEAR(R144)))</f>
        <v>2025</v>
      </c>
      <c r="T144" s="5" t="n">
        <f aca="false">INT((R144-(DATE(S144,1,4)-WEEKDAY(DATE(S144,1,4))+1))/7)+1</f>
        <v>34</v>
      </c>
      <c r="U144" s="5" t="str">
        <f aca="false">IF(T144&gt;=36,S144&amp;"-"&amp;RIGHT(S144+1,2),(S144-1)&amp;"-"&amp;RIGHT(S144,2))</f>
        <v>2024-25</v>
      </c>
    </row>
    <row r="145" customFormat="false" ht="15" hidden="false" customHeight="false" outlineLevel="0" collapsed="false">
      <c r="A145" s="8" t="n">
        <v>45894</v>
      </c>
      <c r="B145" s="6" t="n">
        <v>6</v>
      </c>
      <c r="C145" s="6" t="n">
        <v>0</v>
      </c>
      <c r="D145" s="6" t="n">
        <v>0</v>
      </c>
      <c r="E145" s="6"/>
      <c r="F145" s="6"/>
      <c r="G145" s="6"/>
      <c r="H145" s="6"/>
      <c r="I145" s="6"/>
      <c r="J145" s="6"/>
      <c r="K145" s="6"/>
      <c r="L145" s="6"/>
      <c r="M145" s="5" t="str">
        <f aca="false">IF(AND(K145="",L145=""),"",SUM(K145:L145))</f>
        <v/>
      </c>
      <c r="N145" s="6"/>
      <c r="O145" s="6"/>
      <c r="P145" s="10" t="str">
        <f aca="false">IF(OR(M145="",M145=0),"",IF(N145="",0,N145)/M145)</f>
        <v/>
      </c>
      <c r="Q145" s="7"/>
      <c r="R145" s="11" t="n">
        <f aca="false">A145+5</f>
        <v>45899</v>
      </c>
      <c r="S145" s="5" t="n">
        <f aca="false">IF(R145&gt;=DATE(YEAR(R145)+1,1,4)-WEEKDAY(DATE(YEAR(R145)+1,1,4))+1,YEAR(R145)+1,IF(R145&lt;DATE(YEAR(R145),1,4)-WEEKDAY(DATE(YEAR(R145),1,4))+1,YEAR(R145)-1,YEAR(R145)))</f>
        <v>2025</v>
      </c>
      <c r="T145" s="5" t="n">
        <f aca="false">INT((R145-(DATE(S145,1,4)-WEEKDAY(DATE(S145,1,4))+1))/7)+1</f>
        <v>35</v>
      </c>
      <c r="U145" s="5" t="str">
        <f aca="false">IF(T145&gt;=36,S145&amp;"-"&amp;RIGHT(S145+1,2),(S145-1)&amp;"-"&amp;RIGHT(S145,2))</f>
        <v>2024-25</v>
      </c>
    </row>
    <row r="146" customFormat="false" ht="15" hidden="false" customHeight="false" outlineLevel="0" collapsed="false">
      <c r="A146" s="8" t="n">
        <v>45901</v>
      </c>
      <c r="B146" s="6" t="n">
        <v>3</v>
      </c>
      <c r="C146" s="6" t="n">
        <v>0</v>
      </c>
      <c r="D146" s="6" t="n">
        <v>0</v>
      </c>
      <c r="E146" s="6"/>
      <c r="F146" s="6"/>
      <c r="G146" s="6"/>
      <c r="H146" s="6"/>
      <c r="I146" s="6"/>
      <c r="J146" s="6"/>
      <c r="K146" s="6"/>
      <c r="L146" s="6"/>
      <c r="M146" s="5" t="str">
        <f aca="false">IF(AND(K146="",L146=""),"",SUM(K146:L146))</f>
        <v/>
      </c>
      <c r="N146" s="6"/>
      <c r="O146" s="6"/>
      <c r="P146" s="10" t="str">
        <f aca="false">IF(OR(M146="",M146=0),"",IF(N146="",0,N146)/M146)</f>
        <v/>
      </c>
      <c r="Q146" s="7"/>
      <c r="R146" s="11" t="n">
        <f aca="false">A146+5</f>
        <v>45906</v>
      </c>
      <c r="S146" s="5" t="n">
        <f aca="false">IF(R146&gt;=DATE(YEAR(R146)+1,1,4)-WEEKDAY(DATE(YEAR(R146)+1,1,4))+1,YEAR(R146)+1,IF(R146&lt;DATE(YEAR(R146),1,4)-WEEKDAY(DATE(YEAR(R146),1,4))+1,YEAR(R146)-1,YEAR(R146)))</f>
        <v>2025</v>
      </c>
      <c r="T146" s="5" t="n">
        <f aca="false">INT((R146-(DATE(S146,1,4)-WEEKDAY(DATE(S146,1,4))+1))/7)+1</f>
        <v>36</v>
      </c>
      <c r="U146" s="5" t="str">
        <f aca="false">IF(T146&gt;=36,S146&amp;"-"&amp;RIGHT(S146+1,2),(S146-1)&amp;"-"&amp;RIGHT(S146,2))</f>
        <v>2025-26</v>
      </c>
    </row>
    <row r="147" customFormat="false" ht="15" hidden="false" customHeight="false" outlineLevel="0" collapsed="false">
      <c r="A147" s="8" t="n">
        <v>45908</v>
      </c>
      <c r="B147" s="6" t="n">
        <v>3</v>
      </c>
      <c r="C147" s="6" t="n">
        <v>0</v>
      </c>
      <c r="D147" s="6" t="n">
        <v>0</v>
      </c>
      <c r="E147" s="6"/>
      <c r="F147" s="6"/>
      <c r="G147" s="6"/>
      <c r="H147" s="6"/>
      <c r="I147" s="6"/>
      <c r="J147" s="6"/>
      <c r="K147" s="6"/>
      <c r="L147" s="6"/>
      <c r="M147" s="5" t="str">
        <f aca="false">IF(AND(K147="",L147=""),"",SUM(K147:L147))</f>
        <v/>
      </c>
      <c r="N147" s="6"/>
      <c r="O147" s="6"/>
      <c r="P147" s="10" t="str">
        <f aca="false">IF(OR(M147="",M147=0),"",IF(N147="",0,N147)/M147)</f>
        <v/>
      </c>
      <c r="Q147" s="7"/>
      <c r="R147" s="11" t="n">
        <f aca="false">A147+5</f>
        <v>45913</v>
      </c>
      <c r="S147" s="5" t="n">
        <f aca="false">IF(R147&gt;=DATE(YEAR(R147)+1,1,4)-WEEKDAY(DATE(YEAR(R147)+1,1,4))+1,YEAR(R147)+1,IF(R147&lt;DATE(YEAR(R147),1,4)-WEEKDAY(DATE(YEAR(R147),1,4))+1,YEAR(R147)-1,YEAR(R147)))</f>
        <v>2025</v>
      </c>
      <c r="T147" s="5" t="n">
        <f aca="false">INT((R147-(DATE(S147,1,4)-WEEKDAY(DATE(S147,1,4))+1))/7)+1</f>
        <v>37</v>
      </c>
      <c r="U147" s="5" t="str">
        <f aca="false">IF(T147&gt;=36,S147&amp;"-"&amp;RIGHT(S147+1,2),(S147-1)&amp;"-"&amp;RIGHT(S147,2))</f>
        <v>2025-26</v>
      </c>
    </row>
    <row r="148" customFormat="false" ht="15" hidden="false" customHeight="false" outlineLevel="0" collapsed="false">
      <c r="A148" s="8" t="n">
        <v>45915</v>
      </c>
      <c r="B148" s="6" t="n">
        <v>3</v>
      </c>
      <c r="C148" s="6" t="n">
        <v>0</v>
      </c>
      <c r="D148" s="6" t="n">
        <v>0</v>
      </c>
      <c r="E148" s="6"/>
      <c r="F148" s="6"/>
      <c r="G148" s="6"/>
      <c r="H148" s="6"/>
      <c r="I148" s="6"/>
      <c r="J148" s="6"/>
      <c r="K148" s="6"/>
      <c r="L148" s="6"/>
      <c r="M148" s="5" t="str">
        <f aca="false">IF(AND(K148="",L148=""),"",SUM(K148:L148))</f>
        <v/>
      </c>
      <c r="N148" s="6"/>
      <c r="O148" s="6"/>
      <c r="P148" s="10" t="str">
        <f aca="false">IF(OR(M148="",M148=0),"",IF(N148="",0,N148)/M148)</f>
        <v/>
      </c>
      <c r="Q148" s="7"/>
      <c r="R148" s="11" t="n">
        <f aca="false">A148+5</f>
        <v>45920</v>
      </c>
      <c r="S148" s="5" t="n">
        <f aca="false">IF(R148&gt;=DATE(YEAR(R148)+1,1,4)-WEEKDAY(DATE(YEAR(R148)+1,1,4))+1,YEAR(R148)+1,IF(R148&lt;DATE(YEAR(R148),1,4)-WEEKDAY(DATE(YEAR(R148),1,4))+1,YEAR(R148)-1,YEAR(R148)))</f>
        <v>2025</v>
      </c>
      <c r="T148" s="5" t="n">
        <f aca="false">INT((R148-(DATE(S148,1,4)-WEEKDAY(DATE(S148,1,4))+1))/7)+1</f>
        <v>38</v>
      </c>
      <c r="U148" s="5" t="str">
        <f aca="false">IF(T148&gt;=36,S148&amp;"-"&amp;RIGHT(S148+1,2),(S148-1)&amp;"-"&amp;RIGHT(S148,2))</f>
        <v>2025-26</v>
      </c>
    </row>
    <row r="149" customFormat="false" ht="15" hidden="false" customHeight="false" outlineLevel="0" collapsed="false">
      <c r="A149" s="8" t="n">
        <v>45922</v>
      </c>
      <c r="B149" s="6" t="n">
        <v>1</v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1</v>
      </c>
      <c r="H149" s="6" t="n">
        <v>0</v>
      </c>
      <c r="I149" s="6" t="n">
        <v>0</v>
      </c>
      <c r="J149" s="6" t="n">
        <v>0</v>
      </c>
      <c r="K149" s="6" t="n">
        <v>1</v>
      </c>
      <c r="L149" s="6" t="n">
        <v>0</v>
      </c>
      <c r="M149" s="5" t="n">
        <f aca="false">IF(AND(K149="",L149=""),"",SUM(K149:L149))</f>
        <v>1</v>
      </c>
      <c r="N149" s="6" t="n">
        <v>0</v>
      </c>
      <c r="O149" s="6" t="n">
        <v>1</v>
      </c>
      <c r="P149" s="10" t="n">
        <f aca="false">IF(OR(M149="",M149=0),"",IF(N149="",0,N149)/M149)</f>
        <v>0</v>
      </c>
      <c r="Q149" s="7"/>
      <c r="R149" s="11" t="n">
        <f aca="false">A149+5</f>
        <v>45927</v>
      </c>
      <c r="S149" s="5" t="n">
        <f aca="false">IF(R149&gt;=DATE(YEAR(R149)+1,1,4)-WEEKDAY(DATE(YEAR(R149)+1,1,4))+1,YEAR(R149)+1,IF(R149&lt;DATE(YEAR(R149),1,4)-WEEKDAY(DATE(YEAR(R149),1,4))+1,YEAR(R149)-1,YEAR(R149)))</f>
        <v>2025</v>
      </c>
      <c r="T149" s="5" t="n">
        <f aca="false">INT((R149-(DATE(S149,1,4)-WEEKDAY(DATE(S149,1,4))+1))/7)+1</f>
        <v>39</v>
      </c>
      <c r="U149" s="5" t="str">
        <f aca="false">IF(T149&gt;=36,S149&amp;"-"&amp;RIGHT(S149+1,2),(S149-1)&amp;"-"&amp;RIGHT(S149,2))</f>
        <v>2025-26</v>
      </c>
    </row>
    <row r="150" customFormat="false" ht="15" hidden="false" customHeight="false" outlineLevel="0" collapsed="false">
      <c r="A150" s="8" t="n">
        <v>45929</v>
      </c>
      <c r="B150" s="6" t="n">
        <v>2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5" t="n">
        <f aca="false">IF(AND(K150="",L150=""),"",SUM(K150:L150))</f>
        <v>0</v>
      </c>
      <c r="N150" s="6" t="n">
        <v>0</v>
      </c>
      <c r="O150" s="6" t="n">
        <v>0</v>
      </c>
      <c r="P150" s="10" t="str">
        <f aca="false">IF(OR(M150="",M150=0),"",IF(N150="",0,N150)/M150)</f>
        <v/>
      </c>
      <c r="Q150" s="7"/>
      <c r="R150" s="11" t="n">
        <f aca="false">A150+5</f>
        <v>45934</v>
      </c>
      <c r="S150" s="5" t="n">
        <f aca="false">IF(R150&gt;=DATE(YEAR(R150)+1,1,4)-WEEKDAY(DATE(YEAR(R150)+1,1,4))+1,YEAR(R150)+1,IF(R150&lt;DATE(YEAR(R150),1,4)-WEEKDAY(DATE(YEAR(R150),1,4))+1,YEAR(R150)-1,YEAR(R150)))</f>
        <v>2025</v>
      </c>
      <c r="T150" s="5" t="n">
        <f aca="false">INT((R150-(DATE(S150,1,4)-WEEKDAY(DATE(S150,1,4))+1))/7)+1</f>
        <v>40</v>
      </c>
      <c r="U150" s="5" t="str">
        <f aca="false">IF(T150&gt;=36,S150&amp;"-"&amp;RIGHT(S150+1,2),(S150-1)&amp;"-"&amp;RIGHT(S150,2))</f>
        <v>2025-26</v>
      </c>
    </row>
    <row r="151" customFormat="false" ht="15" hidden="false" customHeight="false" outlineLevel="0" collapsed="false">
      <c r="A151" s="8" t="n">
        <v>45936</v>
      </c>
      <c r="B151" s="6" t="n">
        <v>1</v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5" t="n">
        <f aca="false">IF(AND(K151="",L151=""),"",SUM(K151:L151))</f>
        <v>0</v>
      </c>
      <c r="N151" s="6" t="n">
        <v>0</v>
      </c>
      <c r="O151" s="6" t="n">
        <v>0</v>
      </c>
      <c r="P151" s="10" t="str">
        <f aca="false">IF(OR(M151="",M151=0),"",IF(N151="",0,N151)/M151)</f>
        <v/>
      </c>
      <c r="Q151" s="7"/>
      <c r="R151" s="11" t="n">
        <f aca="false">A151+5</f>
        <v>45941</v>
      </c>
      <c r="S151" s="5" t="n">
        <f aca="false">IF(R151&gt;=DATE(YEAR(R151)+1,1,4)-WEEKDAY(DATE(YEAR(R151)+1,1,4))+1,YEAR(R151)+1,IF(R151&lt;DATE(YEAR(R151),1,4)-WEEKDAY(DATE(YEAR(R151),1,4))+1,YEAR(R151)-1,YEAR(R151)))</f>
        <v>2025</v>
      </c>
      <c r="T151" s="5" t="n">
        <f aca="false">INT((R151-(DATE(S151,1,4)-WEEKDAY(DATE(S151,1,4))+1))/7)+1</f>
        <v>41</v>
      </c>
      <c r="U151" s="5" t="str">
        <f aca="false">IF(T151&gt;=36,S151&amp;"-"&amp;RIGHT(S151+1,2),(S151-1)&amp;"-"&amp;RIGHT(S151,2))</f>
        <v>2025-26</v>
      </c>
    </row>
    <row r="152" customFormat="false" ht="15" hidden="false" customHeight="false" outlineLevel="0" collapsed="false">
      <c r="A152" s="8" t="n">
        <v>45943</v>
      </c>
      <c r="B152" s="6" t="n">
        <v>0</v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5" t="n">
        <f aca="false">IF(AND(K152="",L152=""),"",SUM(K152:L152))</f>
        <v>0</v>
      </c>
      <c r="N152" s="6" t="n">
        <v>0</v>
      </c>
      <c r="O152" s="6" t="n">
        <v>0</v>
      </c>
      <c r="P152" s="10" t="str">
        <f aca="false">IF(OR(M152="",M152=0),"",IF(N152="",0,N152)/M152)</f>
        <v/>
      </c>
      <c r="Q152" s="7"/>
      <c r="R152" s="11" t="n">
        <f aca="false">A152+5</f>
        <v>45948</v>
      </c>
      <c r="S152" s="5" t="n">
        <f aca="false">IF(R152&gt;=DATE(YEAR(R152)+1,1,4)-WEEKDAY(DATE(YEAR(R152)+1,1,4))+1,YEAR(R152)+1,IF(R152&lt;DATE(YEAR(R152),1,4)-WEEKDAY(DATE(YEAR(R152),1,4))+1,YEAR(R152)-1,YEAR(R152)))</f>
        <v>2025</v>
      </c>
      <c r="T152" s="5" t="n">
        <f aca="false">INT((R152-(DATE(S152,1,4)-WEEKDAY(DATE(S152,1,4))+1))/7)+1</f>
        <v>42</v>
      </c>
      <c r="U152" s="5" t="str">
        <f aca="false">IF(T152&gt;=36,S152&amp;"-"&amp;RIGHT(S152+1,2),(S152-1)&amp;"-"&amp;RIGHT(S152,2))</f>
        <v>2025-26</v>
      </c>
    </row>
    <row r="153" customFormat="false" ht="15" hidden="false" customHeight="false" outlineLevel="0" collapsed="false">
      <c r="A153" s="8" t="n">
        <v>45950</v>
      </c>
      <c r="B153" s="6" t="n">
        <v>0</v>
      </c>
      <c r="C153" s="6" t="n">
        <v>0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5" t="n">
        <f aca="false">IF(AND(K153="",L153=""),"",SUM(K153:L153))</f>
        <v>0</v>
      </c>
      <c r="N153" s="6" t="n">
        <v>0</v>
      </c>
      <c r="O153" s="6" t="n">
        <v>0</v>
      </c>
      <c r="P153" s="10" t="str">
        <f aca="false">IF(OR(M153="",M153=0),"",IF(N153="",0,N153)/M153)</f>
        <v/>
      </c>
      <c r="Q153" s="7"/>
      <c r="R153" s="11" t="n">
        <f aca="false">A153+5</f>
        <v>45955</v>
      </c>
      <c r="S153" s="5" t="n">
        <f aca="false">IF(R153&gt;=DATE(YEAR(R153)+1,1,4)-WEEKDAY(DATE(YEAR(R153)+1,1,4))+1,YEAR(R153)+1,IF(R153&lt;DATE(YEAR(R153),1,4)-WEEKDAY(DATE(YEAR(R153),1,4))+1,YEAR(R153)-1,YEAR(R153)))</f>
        <v>2025</v>
      </c>
      <c r="T153" s="5" t="n">
        <f aca="false">INT((R153-(DATE(S153,1,4)-WEEKDAY(DATE(S153,1,4))+1))/7)+1</f>
        <v>43</v>
      </c>
      <c r="U153" s="5" t="str">
        <f aca="false">IF(T153&gt;=36,S153&amp;"-"&amp;RIGHT(S153+1,2),(S153-1)&amp;"-"&amp;RIGHT(S153,2))</f>
        <v>2025-26</v>
      </c>
    </row>
    <row r="154" customFormat="false" ht="15" hidden="false" customHeight="false" outlineLevel="0" collapsed="false">
      <c r="A154" s="8" t="n">
        <v>45957</v>
      </c>
      <c r="B154" s="6" t="n">
        <v>0</v>
      </c>
      <c r="C154" s="6" t="n">
        <v>0</v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0</v>
      </c>
      <c r="M154" s="5" t="n">
        <f aca="false">IF(AND(K154="",L154=""),"",SUM(K154:L154))</f>
        <v>0</v>
      </c>
      <c r="N154" s="6" t="n">
        <v>0</v>
      </c>
      <c r="O154" s="6" t="n">
        <v>0</v>
      </c>
      <c r="P154" s="10" t="str">
        <f aca="false">IF(OR(M154="",M154=0),"",IF(N154="",0,N154)/M154)</f>
        <v/>
      </c>
      <c r="Q154" s="7"/>
      <c r="R154" s="11" t="n">
        <f aca="false">A154+5</f>
        <v>45962</v>
      </c>
      <c r="S154" s="5" t="n">
        <f aca="false">IF(R154&gt;=DATE(YEAR(R154)+1,1,4)-WEEKDAY(DATE(YEAR(R154)+1,1,4))+1,YEAR(R154)+1,IF(R154&lt;DATE(YEAR(R154),1,4)-WEEKDAY(DATE(YEAR(R154),1,4))+1,YEAR(R154)-1,YEAR(R154)))</f>
        <v>2025</v>
      </c>
      <c r="T154" s="5" t="n">
        <f aca="false">INT((R154-(DATE(S154,1,4)-WEEKDAY(DATE(S154,1,4))+1))/7)+1</f>
        <v>44</v>
      </c>
      <c r="U154" s="5" t="str">
        <f aca="false">IF(T154&gt;=36,S154&amp;"-"&amp;RIGHT(S154+1,2),(S154-1)&amp;"-"&amp;RIGHT(S154,2))</f>
        <v>2025-26</v>
      </c>
    </row>
    <row r="155" customFormat="false" ht="15" hidden="false" customHeight="false" outlineLevel="0" collapsed="false">
      <c r="A155" s="8" t="n">
        <v>45964</v>
      </c>
      <c r="B155" s="6" t="n">
        <v>2</v>
      </c>
      <c r="C155" s="6" t="n">
        <v>0</v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5" t="n">
        <f aca="false">IF(AND(K155="",L155=""),"",SUM(K155:L155))</f>
        <v>0</v>
      </c>
      <c r="N155" s="6" t="n">
        <v>0</v>
      </c>
      <c r="O155" s="6" t="n">
        <v>0</v>
      </c>
      <c r="P155" s="10" t="str">
        <f aca="false">IF(OR(M155="",M155=0),"",IF(N155="",0,N155)/M155)</f>
        <v/>
      </c>
      <c r="Q155" s="7"/>
      <c r="R155" s="11" t="n">
        <f aca="false">A155+5</f>
        <v>45969</v>
      </c>
      <c r="S155" s="5" t="n">
        <f aca="false">IF(R155&gt;=DATE(YEAR(R155)+1,1,4)-WEEKDAY(DATE(YEAR(R155)+1,1,4))+1,YEAR(R155)+1,IF(R155&lt;DATE(YEAR(R155),1,4)-WEEKDAY(DATE(YEAR(R155),1,4))+1,YEAR(R155)-1,YEAR(R155)))</f>
        <v>2025</v>
      </c>
      <c r="T155" s="5" t="n">
        <f aca="false">INT((R155-(DATE(S155,1,4)-WEEKDAY(DATE(S155,1,4))+1))/7)+1</f>
        <v>45</v>
      </c>
      <c r="U155" s="5" t="str">
        <f aca="false">IF(T155&gt;=36,S155&amp;"-"&amp;RIGHT(S155+1,2),(S155-1)&amp;"-"&amp;RIGHT(S155,2))</f>
        <v>2025-26</v>
      </c>
    </row>
    <row r="156" customFormat="false" ht="15" hidden="false" customHeight="false" outlineLevel="0" collapsed="false">
      <c r="A156" s="8" t="n">
        <v>45971</v>
      </c>
      <c r="B156" s="6" t="n">
        <v>2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5" t="n">
        <f aca="false">IF(AND(K156="",L156=""),"",SUM(K156:L156))</f>
        <v>0</v>
      </c>
      <c r="N156" s="6" t="n">
        <v>0</v>
      </c>
      <c r="O156" s="6" t="n">
        <v>0</v>
      </c>
      <c r="P156" s="10" t="str">
        <f aca="false">IF(OR(M156="",M156=0),"",IF(N156="",0,N156)/M156)</f>
        <v/>
      </c>
      <c r="Q156" s="7"/>
      <c r="R156" s="11" t="n">
        <f aca="false">A156+5</f>
        <v>45976</v>
      </c>
      <c r="S156" s="5" t="n">
        <f aca="false">IF(R156&gt;=DATE(YEAR(R156)+1,1,4)-WEEKDAY(DATE(YEAR(R156)+1,1,4))+1,YEAR(R156)+1,IF(R156&lt;DATE(YEAR(R156),1,4)-WEEKDAY(DATE(YEAR(R156),1,4))+1,YEAR(R156)-1,YEAR(R156)))</f>
        <v>2025</v>
      </c>
      <c r="T156" s="5" t="n">
        <f aca="false">INT((R156-(DATE(S156,1,4)-WEEKDAY(DATE(S156,1,4))+1))/7)+1</f>
        <v>46</v>
      </c>
      <c r="U156" s="5" t="str">
        <f aca="false">IF(T156&gt;=36,S156&amp;"-"&amp;RIGHT(S156+1,2),(S156-1)&amp;"-"&amp;RIGHT(S156,2))</f>
        <v>2025-26</v>
      </c>
    </row>
    <row r="157" customFormat="false" ht="15" hidden="false" customHeight="false" outlineLevel="0" collapsed="false">
      <c r="A157" s="8" t="n">
        <v>45978</v>
      </c>
      <c r="B157" s="6" t="n">
        <v>0</v>
      </c>
      <c r="C157" s="6" t="n">
        <v>1</v>
      </c>
      <c r="D157" s="6" t="n">
        <v>0</v>
      </c>
      <c r="E157" s="6" t="n">
        <v>0</v>
      </c>
      <c r="F157" s="6" t="n">
        <v>0</v>
      </c>
      <c r="G157" s="6" t="n">
        <v>1</v>
      </c>
      <c r="H157" s="6" t="n">
        <v>1</v>
      </c>
      <c r="I157" s="6" t="n">
        <v>0</v>
      </c>
      <c r="J157" s="6" t="n">
        <v>0</v>
      </c>
      <c r="K157" s="6" t="n">
        <v>1</v>
      </c>
      <c r="L157" s="6" t="n">
        <v>0</v>
      </c>
      <c r="M157" s="5" t="n">
        <f aca="false">IF(AND(K157="",L157=""),"",SUM(K157:L157))</f>
        <v>1</v>
      </c>
      <c r="N157" s="6" t="n">
        <v>0</v>
      </c>
      <c r="O157" s="6" t="n">
        <v>1</v>
      </c>
      <c r="P157" s="10" t="n">
        <f aca="false">IF(OR(M157="",M157=0),"",IF(N157="",0,N157)/M157)</f>
        <v>0</v>
      </c>
      <c r="Q157" s="7"/>
      <c r="R157" s="11" t="n">
        <f aca="false">A157+5</f>
        <v>45983</v>
      </c>
      <c r="S157" s="5" t="n">
        <f aca="false">IF(R157&gt;=DATE(YEAR(R157)+1,1,4)-WEEKDAY(DATE(YEAR(R157)+1,1,4))+1,YEAR(R157)+1,IF(R157&lt;DATE(YEAR(R157),1,4)-WEEKDAY(DATE(YEAR(R157),1,4))+1,YEAR(R157)-1,YEAR(R157)))</f>
        <v>2025</v>
      </c>
      <c r="T157" s="5" t="n">
        <f aca="false">INT((R157-(DATE(S157,1,4)-WEEKDAY(DATE(S157,1,4))+1))/7)+1</f>
        <v>47</v>
      </c>
      <c r="U157" s="5" t="str">
        <f aca="false">IF(T157&gt;=36,S157&amp;"-"&amp;RIGHT(S157+1,2),(S157-1)&amp;"-"&amp;RIGHT(S157,2))</f>
        <v>2025-26</v>
      </c>
    </row>
    <row r="158" customFormat="false" ht="15" hidden="false" customHeight="false" outlineLevel="0" collapsed="false">
      <c r="A158" s="8" t="n">
        <v>45985</v>
      </c>
      <c r="B158" s="6" t="n">
        <v>3</v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5" t="n">
        <f aca="false">IF(AND(K158="",L158=""),"",SUM(K158:L158))</f>
        <v>0</v>
      </c>
      <c r="N158" s="6" t="n">
        <v>0</v>
      </c>
      <c r="O158" s="6" t="n">
        <v>0</v>
      </c>
      <c r="P158" s="10" t="str">
        <f aca="false">IF(OR(M158="",M158=0),"",IF(N158="",0,N158)/M158)</f>
        <v/>
      </c>
      <c r="Q158" s="7"/>
      <c r="R158" s="11" t="n">
        <f aca="false">A158+5</f>
        <v>45990</v>
      </c>
      <c r="S158" s="5" t="n">
        <f aca="false">IF(R158&gt;=DATE(YEAR(R158)+1,1,4)-WEEKDAY(DATE(YEAR(R158)+1,1,4))+1,YEAR(R158)+1,IF(R158&lt;DATE(YEAR(R158),1,4)-WEEKDAY(DATE(YEAR(R158),1,4))+1,YEAR(R158)-1,YEAR(R158)))</f>
        <v>2025</v>
      </c>
      <c r="T158" s="5" t="n">
        <f aca="false">INT((R158-(DATE(S158,1,4)-WEEKDAY(DATE(S158,1,4))+1))/7)+1</f>
        <v>48</v>
      </c>
      <c r="U158" s="5" t="str">
        <f aca="false">IF(T158&gt;=36,S158&amp;"-"&amp;RIGHT(S158+1,2),(S158-1)&amp;"-"&amp;RIGHT(S158,2))</f>
        <v>2025-26</v>
      </c>
    </row>
    <row r="159" customFormat="false" ht="15" hidden="false" customHeight="false" outlineLevel="0" collapsed="false">
      <c r="A159" s="8" t="n">
        <v>45992</v>
      </c>
      <c r="B159" s="6" t="n">
        <v>5</v>
      </c>
      <c r="C159" s="6" t="n">
        <v>1</v>
      </c>
      <c r="D159" s="6" t="n">
        <v>0</v>
      </c>
      <c r="E159" s="6" t="n">
        <v>0</v>
      </c>
      <c r="F159" s="6" t="n">
        <v>0</v>
      </c>
      <c r="G159" s="6" t="n">
        <v>2</v>
      </c>
      <c r="H159" s="6" t="n">
        <v>2</v>
      </c>
      <c r="I159" s="6" t="n">
        <v>0</v>
      </c>
      <c r="J159" s="6" t="n">
        <v>0</v>
      </c>
      <c r="K159" s="6" t="n">
        <v>2</v>
      </c>
      <c r="L159" s="6" t="n">
        <v>0</v>
      </c>
      <c r="M159" s="5" t="n">
        <f aca="false">IF(AND(K159="",L159=""),"",SUM(K159:L159))</f>
        <v>2</v>
      </c>
      <c r="N159" s="6" t="n">
        <v>0</v>
      </c>
      <c r="O159" s="6" t="n">
        <v>2</v>
      </c>
      <c r="P159" s="10" t="n">
        <f aca="false">IF(OR(M159="",M159=0),"",IF(N159="",0,N159)/M159)</f>
        <v>0</v>
      </c>
      <c r="Q159" s="7"/>
      <c r="R159" s="11" t="n">
        <f aca="false">A159+5</f>
        <v>45997</v>
      </c>
      <c r="S159" s="5" t="n">
        <f aca="false">IF(R159&gt;=DATE(YEAR(R159)+1,1,4)-WEEKDAY(DATE(YEAR(R159)+1,1,4))+1,YEAR(R159)+1,IF(R159&lt;DATE(YEAR(R159),1,4)-WEEKDAY(DATE(YEAR(R159),1,4))+1,YEAR(R159)-1,YEAR(R159)))</f>
        <v>2025</v>
      </c>
      <c r="T159" s="5" t="n">
        <f aca="false">INT((R159-(DATE(S159,1,4)-WEEKDAY(DATE(S159,1,4))+1))/7)+1</f>
        <v>49</v>
      </c>
      <c r="U159" s="5" t="str">
        <f aca="false">IF(T159&gt;=36,S159&amp;"-"&amp;RIGHT(S159+1,2),(S159-1)&amp;"-"&amp;RIGHT(S159,2))</f>
        <v>2025-26</v>
      </c>
    </row>
    <row r="160" customFormat="false" ht="15" hidden="false" customHeight="false" outlineLevel="0" collapsed="false">
      <c r="A160" s="8" t="n">
        <v>45999</v>
      </c>
      <c r="B160" s="6" t="n">
        <v>0</v>
      </c>
      <c r="C160" s="6" t="n">
        <v>3</v>
      </c>
      <c r="D160" s="6" t="n">
        <v>1</v>
      </c>
      <c r="E160" s="6" t="n">
        <v>0</v>
      </c>
      <c r="F160" s="6" t="n">
        <v>0</v>
      </c>
      <c r="G160" s="6" t="n">
        <v>4</v>
      </c>
      <c r="H160" s="6" t="n">
        <v>3</v>
      </c>
      <c r="I160" s="6" t="n">
        <v>0</v>
      </c>
      <c r="J160" s="6" t="n">
        <v>0</v>
      </c>
      <c r="K160" s="6" t="n">
        <v>4</v>
      </c>
      <c r="L160" s="6" t="n">
        <v>0</v>
      </c>
      <c r="M160" s="5" t="n">
        <f aca="false">IF(AND(K160="",L160=""),"",SUM(K160:L160))</f>
        <v>4</v>
      </c>
      <c r="N160" s="6" t="n">
        <v>0</v>
      </c>
      <c r="O160" s="6" t="n">
        <v>4</v>
      </c>
      <c r="P160" s="10" t="n">
        <f aca="false">IF(OR(M160="",M160=0),"",IF(N160="",0,N160)/M160)</f>
        <v>0</v>
      </c>
      <c r="Q160" s="7"/>
      <c r="R160" s="11" t="n">
        <f aca="false">A160+5</f>
        <v>46004</v>
      </c>
      <c r="S160" s="5" t="n">
        <f aca="false">IF(R160&gt;=DATE(YEAR(R160)+1,1,4)-WEEKDAY(DATE(YEAR(R160)+1,1,4))+1,YEAR(R160)+1,IF(R160&lt;DATE(YEAR(R160),1,4)-WEEKDAY(DATE(YEAR(R160),1,4))+1,YEAR(R160)-1,YEAR(R160)))</f>
        <v>2025</v>
      </c>
      <c r="T160" s="5" t="n">
        <f aca="false">INT((R160-(DATE(S160,1,4)-WEEKDAY(DATE(S160,1,4))+1))/7)+1</f>
        <v>50</v>
      </c>
      <c r="U160" s="5" t="str">
        <f aca="false">IF(T160&gt;=36,S160&amp;"-"&amp;RIGHT(S160+1,2),(S160-1)&amp;"-"&amp;RIGHT(S160,2))</f>
        <v>2025-26</v>
      </c>
    </row>
    <row r="161" customFormat="false" ht="15" hidden="false" customHeight="false" outlineLevel="0" collapsed="false">
      <c r="A161" s="8" t="n">
        <v>46006</v>
      </c>
      <c r="B161" s="6" t="n">
        <v>0</v>
      </c>
      <c r="C161" s="6" t="n">
        <v>4</v>
      </c>
      <c r="D161" s="6" t="n">
        <v>2</v>
      </c>
      <c r="E161" s="6" t="n">
        <v>0</v>
      </c>
      <c r="F161" s="6" t="n">
        <v>0</v>
      </c>
      <c r="G161" s="6" t="n">
        <v>7</v>
      </c>
      <c r="H161" s="6" t="n">
        <v>3</v>
      </c>
      <c r="I161" s="6" t="n">
        <v>1</v>
      </c>
      <c r="J161" s="6" t="n">
        <v>1</v>
      </c>
      <c r="K161" s="6" t="n">
        <v>7</v>
      </c>
      <c r="L161" s="6" t="n">
        <v>0</v>
      </c>
      <c r="M161" s="5" t="n">
        <f aca="false">IF(AND(K161="",L161=""),"",SUM(K161:L161))</f>
        <v>7</v>
      </c>
      <c r="N161" s="6" t="n">
        <v>3</v>
      </c>
      <c r="O161" s="6" t="n">
        <v>4</v>
      </c>
      <c r="P161" s="10" t="n">
        <f aca="false">IF(OR(M161="",M161=0),"",IF(N161="",0,N161)/M161)</f>
        <v>0.428571428571429</v>
      </c>
      <c r="Q161" s="7"/>
      <c r="R161" s="11" t="n">
        <f aca="false">A161+5</f>
        <v>46011</v>
      </c>
      <c r="S161" s="5" t="n">
        <f aca="false">IF(R161&gt;=DATE(YEAR(R161)+1,1,4)-WEEKDAY(DATE(YEAR(R161)+1,1,4))+1,YEAR(R161)+1,IF(R161&lt;DATE(YEAR(R161),1,4)-WEEKDAY(DATE(YEAR(R161),1,4))+1,YEAR(R161)-1,YEAR(R161)))</f>
        <v>2025</v>
      </c>
      <c r="T161" s="5" t="n">
        <f aca="false">INT((R161-(DATE(S161,1,4)-WEEKDAY(DATE(S161,1,4))+1))/7)+1</f>
        <v>51</v>
      </c>
      <c r="U161" s="5" t="str">
        <f aca="false">IF(T161&gt;=36,S161&amp;"-"&amp;RIGHT(S161+1,2),(S161-1)&amp;"-"&amp;RIGHT(S161,2))</f>
        <v>2025-26</v>
      </c>
    </row>
    <row r="162" customFormat="false" ht="15" hidden="false" customHeight="false" outlineLevel="0" collapsed="false">
      <c r="A162" s="8" t="n">
        <v>46013</v>
      </c>
      <c r="B162" s="6" t="n">
        <v>0</v>
      </c>
      <c r="C162" s="6" t="n">
        <v>13</v>
      </c>
      <c r="D162" s="6" t="n">
        <v>1</v>
      </c>
      <c r="E162" s="6" t="n">
        <v>0</v>
      </c>
      <c r="F162" s="6" t="n">
        <v>0</v>
      </c>
      <c r="G162" s="6" t="n">
        <v>21</v>
      </c>
      <c r="H162" s="6" t="n">
        <v>3</v>
      </c>
      <c r="I162" s="6" t="n">
        <v>2</v>
      </c>
      <c r="J162" s="6" t="n">
        <v>0</v>
      </c>
      <c r="K162" s="6" t="n">
        <v>21</v>
      </c>
      <c r="L162" s="6" t="n">
        <v>0</v>
      </c>
      <c r="M162" s="5" t="n">
        <f aca="false">IF(AND(K162="",L162=""),"",SUM(K162:L162))</f>
        <v>21</v>
      </c>
      <c r="N162" s="6" t="n">
        <v>2</v>
      </c>
      <c r="O162" s="6" t="n">
        <v>19</v>
      </c>
      <c r="P162" s="10" t="n">
        <f aca="false">IF(OR(M162="",M162=0),"",IF(N162="",0,N162)/M162)</f>
        <v>0.0952380952380952</v>
      </c>
      <c r="Q162" s="7"/>
      <c r="R162" s="11" t="n">
        <f aca="false">A162+5</f>
        <v>46018</v>
      </c>
      <c r="S162" s="5" t="n">
        <f aca="false">IF(R162&gt;=DATE(YEAR(R162)+1,1,4)-WEEKDAY(DATE(YEAR(R162)+1,1,4))+1,YEAR(R162)+1,IF(R162&lt;DATE(YEAR(R162),1,4)-WEEKDAY(DATE(YEAR(R162),1,4))+1,YEAR(R162)-1,YEAR(R162)))</f>
        <v>2025</v>
      </c>
      <c r="T162" s="5" t="n">
        <f aca="false">INT((R162-(DATE(S162,1,4)-WEEKDAY(DATE(S162,1,4))+1))/7)+1</f>
        <v>52</v>
      </c>
      <c r="U162" s="5" t="str">
        <f aca="false">IF(T162&gt;=36,S162&amp;"-"&amp;RIGHT(S162+1,2),(S162-1)&amp;"-"&amp;RIGHT(S162,2))</f>
        <v>2025-26</v>
      </c>
    </row>
    <row r="163" customFormat="false" ht="15" hidden="false" customHeight="false" outlineLevel="0" collapsed="false">
      <c r="A163" s="8" t="n">
        <v>46020</v>
      </c>
      <c r="B163" s="6" t="n">
        <v>1</v>
      </c>
      <c r="C163" s="6" t="n">
        <v>10</v>
      </c>
      <c r="D163" s="6" t="n">
        <v>1</v>
      </c>
      <c r="E163" s="6" t="n">
        <v>0</v>
      </c>
      <c r="F163" s="6" t="n">
        <v>0</v>
      </c>
      <c r="G163" s="6" t="n">
        <v>19</v>
      </c>
      <c r="H163" s="6" t="n">
        <v>3</v>
      </c>
      <c r="I163" s="6" t="n">
        <v>2</v>
      </c>
      <c r="J163" s="6" t="n">
        <v>1</v>
      </c>
      <c r="K163" s="6" t="n">
        <v>15</v>
      </c>
      <c r="L163" s="6" t="n">
        <v>4</v>
      </c>
      <c r="M163" s="5" t="n">
        <f aca="false">IF(AND(K163="",L163=""),"",SUM(K163:L163))</f>
        <v>19</v>
      </c>
      <c r="N163" s="6" t="n">
        <v>3</v>
      </c>
      <c r="O163" s="6" t="n">
        <v>16</v>
      </c>
      <c r="P163" s="10" t="n">
        <f aca="false">IF(OR(M163="",M163=0),"",IF(N163="",0,N163)/M163)</f>
        <v>0.157894736842105</v>
      </c>
      <c r="Q163" s="7"/>
      <c r="R163" s="11" t="n">
        <f aca="false">A163+5</f>
        <v>46025</v>
      </c>
      <c r="S163" s="5" t="n">
        <f aca="false">IF(R163&gt;=DATE(YEAR(R163)+1,1,4)-WEEKDAY(DATE(YEAR(R163)+1,1,4))+1,YEAR(R163)+1,IF(R163&lt;DATE(YEAR(R163),1,4)-WEEKDAY(DATE(YEAR(R163),1,4))+1,YEAR(R163)-1,YEAR(R163)))</f>
        <v>2025</v>
      </c>
      <c r="T163" s="5" t="n">
        <f aca="false">INT((R163-(DATE(S163,1,4)-WEEKDAY(DATE(S163,1,4))+1))/7)+1</f>
        <v>53</v>
      </c>
      <c r="U163" s="5" t="str">
        <f aca="false">IF(T163&gt;=36,S163&amp;"-"&amp;RIGHT(S163+1,2),(S163-1)&amp;"-"&amp;RIGHT(S163,2))</f>
        <v>2025-26</v>
      </c>
    </row>
    <row r="164" customFormat="false" ht="15" hidden="false" customHeight="false" outlineLevel="0" collapsed="false">
      <c r="A164" s="8" t="n">
        <v>46027</v>
      </c>
      <c r="B164" s="6" t="n">
        <v>1</v>
      </c>
      <c r="C164" s="6" t="n">
        <v>14</v>
      </c>
      <c r="D164" s="6" t="n">
        <v>2</v>
      </c>
      <c r="E164" s="6" t="n">
        <v>0</v>
      </c>
      <c r="F164" s="6" t="n">
        <v>0</v>
      </c>
      <c r="G164" s="6" t="n">
        <v>20</v>
      </c>
      <c r="H164" s="6" t="n">
        <v>13</v>
      </c>
      <c r="I164" s="6" t="n">
        <v>2</v>
      </c>
      <c r="J164" s="6" t="n">
        <v>2</v>
      </c>
      <c r="K164" s="6" t="n">
        <v>19</v>
      </c>
      <c r="L164" s="6" t="n">
        <v>1</v>
      </c>
      <c r="M164" s="5" t="n">
        <f aca="false">IF(AND(K164="",L164=""),"",SUM(K164:L164))</f>
        <v>20</v>
      </c>
      <c r="N164" s="6" t="n">
        <v>3</v>
      </c>
      <c r="O164" s="6" t="n">
        <v>17</v>
      </c>
      <c r="P164" s="10" t="n">
        <f aca="false">IF(OR(M164="",M164=0),"",IF(N164="",0,N164)/M164)</f>
        <v>0.15</v>
      </c>
      <c r="Q164" s="7"/>
      <c r="R164" s="11" t="n">
        <f aca="false">A164+5</f>
        <v>46032</v>
      </c>
      <c r="S164" s="5" t="n">
        <f aca="false">IF(R164&gt;=DATE(YEAR(R164)+1,1,4)-WEEKDAY(DATE(YEAR(R164)+1,1,4))+1,YEAR(R164)+1,IF(R164&lt;DATE(YEAR(R164),1,4)-WEEKDAY(DATE(YEAR(R164),1,4))+1,YEAR(R164)-1,YEAR(R164)))</f>
        <v>2026</v>
      </c>
      <c r="T164" s="5" t="n">
        <f aca="false">INT((R164-(DATE(S164,1,4)-WEEKDAY(DATE(S164,1,4))+1))/7)+1</f>
        <v>1</v>
      </c>
      <c r="U164" s="5" t="str">
        <f aca="false">IF(T164&gt;=36,S164&amp;"-"&amp;RIGHT(S164+1,2),(S164-1)&amp;"-"&amp;RIGHT(S164,2))</f>
        <v>2025-26</v>
      </c>
    </row>
    <row r="165" customFormat="false" ht="15" hidden="false" customHeight="false" outlineLevel="0" collapsed="false">
      <c r="A165" s="8" t="n">
        <v>46034</v>
      </c>
      <c r="B165" s="6" t="n">
        <v>0</v>
      </c>
      <c r="C165" s="6" t="n">
        <v>16</v>
      </c>
      <c r="D165" s="6" t="n">
        <v>0</v>
      </c>
      <c r="E165" s="6" t="n">
        <v>0</v>
      </c>
      <c r="F165" s="6" t="n">
        <v>0</v>
      </c>
      <c r="G165" s="6" t="n">
        <v>20</v>
      </c>
      <c r="H165" s="6" t="n">
        <v>15</v>
      </c>
      <c r="I165" s="6" t="n">
        <v>0</v>
      </c>
      <c r="J165" s="6" t="n">
        <v>0</v>
      </c>
      <c r="K165" s="6" t="n">
        <v>16</v>
      </c>
      <c r="L165" s="6" t="n">
        <v>4</v>
      </c>
      <c r="M165" s="5" t="n">
        <f aca="false">IF(AND(K165="",L165=""),"",SUM(K165:L165))</f>
        <v>20</v>
      </c>
      <c r="N165" s="6" t="n">
        <v>5</v>
      </c>
      <c r="O165" s="6" t="n">
        <v>15</v>
      </c>
      <c r="P165" s="10" t="n">
        <f aca="false">IF(OR(M165="",M165=0),"",IF(N165="",0,N165)/M165)</f>
        <v>0.25</v>
      </c>
      <c r="Q165" s="7"/>
      <c r="R165" s="11" t="n">
        <f aca="false">A165+5</f>
        <v>46039</v>
      </c>
      <c r="S165" s="5" t="n">
        <f aca="false">IF(R165&gt;=DATE(YEAR(R165)+1,1,4)-WEEKDAY(DATE(YEAR(R165)+1,1,4))+1,YEAR(R165)+1,IF(R165&lt;DATE(YEAR(R165),1,4)-WEEKDAY(DATE(YEAR(R165),1,4))+1,YEAR(R165)-1,YEAR(R165)))</f>
        <v>2026</v>
      </c>
      <c r="T165" s="5" t="n">
        <f aca="false">INT((R165-(DATE(S165,1,4)-WEEKDAY(DATE(S165,1,4))+1))/7)+1</f>
        <v>2</v>
      </c>
      <c r="U165" s="5" t="str">
        <f aca="false">IF(T165&gt;=36,S165&amp;"-"&amp;RIGHT(S165+1,2),(S165-1)&amp;"-"&amp;RIGHT(S165,2))</f>
        <v>2025-26</v>
      </c>
    </row>
    <row r="166" customFormat="false" ht="15" hidden="false" customHeight="false" outlineLevel="0" collapsed="false">
      <c r="A166" s="8" t="n">
        <v>46041</v>
      </c>
      <c r="B166" s="6" t="n">
        <v>0</v>
      </c>
      <c r="C166" s="6" t="n">
        <v>30</v>
      </c>
      <c r="D166" s="6" t="n">
        <v>4</v>
      </c>
      <c r="E166" s="6" t="n">
        <v>0</v>
      </c>
      <c r="F166" s="6" t="n">
        <v>0</v>
      </c>
      <c r="G166" s="6" t="n">
        <v>33</v>
      </c>
      <c r="H166" s="6" t="n">
        <v>27</v>
      </c>
      <c r="I166" s="6" t="n">
        <v>5</v>
      </c>
      <c r="J166" s="6" t="n">
        <v>3</v>
      </c>
      <c r="K166" s="6" t="n">
        <v>28</v>
      </c>
      <c r="L166" s="6" t="n">
        <v>5</v>
      </c>
      <c r="M166" s="5" t="n">
        <f aca="false">IF(AND(K166="",L166=""),"",SUM(K166:L166))</f>
        <v>33</v>
      </c>
      <c r="N166" s="6" t="n">
        <v>11</v>
      </c>
      <c r="O166" s="6" t="n">
        <v>22</v>
      </c>
      <c r="P166" s="10" t="n">
        <f aca="false">IF(OR(M166="",M166=0),"",IF(N166="",0,N166)/M166)</f>
        <v>0.333333333333333</v>
      </c>
      <c r="Q166" s="7"/>
      <c r="R166" s="11" t="n">
        <f aca="false">A166+5</f>
        <v>46046</v>
      </c>
      <c r="S166" s="5" t="n">
        <f aca="false">IF(R166&gt;=DATE(YEAR(R166)+1,1,4)-WEEKDAY(DATE(YEAR(R166)+1,1,4))+1,YEAR(R166)+1,IF(R166&lt;DATE(YEAR(R166),1,4)-WEEKDAY(DATE(YEAR(R166),1,4))+1,YEAR(R166)-1,YEAR(R166)))</f>
        <v>2026</v>
      </c>
      <c r="T166" s="5" t="n">
        <f aca="false">INT((R166-(DATE(S166,1,4)-WEEKDAY(DATE(S166,1,4))+1))/7)+1</f>
        <v>3</v>
      </c>
      <c r="U166" s="5" t="str">
        <f aca="false">IF(T166&gt;=36,S166&amp;"-"&amp;RIGHT(S166+1,2),(S166-1)&amp;"-"&amp;RIGHT(S166,2))</f>
        <v>2025-26</v>
      </c>
    </row>
    <row r="167" customFormat="false" ht="15" hidden="false" customHeight="false" outlineLevel="0" collapsed="false">
      <c r="A167" s="8" t="n">
        <v>46048</v>
      </c>
      <c r="B167" s="6" t="n">
        <v>4</v>
      </c>
      <c r="C167" s="6" t="n">
        <v>63</v>
      </c>
      <c r="D167" s="6" t="n">
        <v>1</v>
      </c>
      <c r="E167" s="6" t="n">
        <v>0</v>
      </c>
      <c r="F167" s="6" t="n">
        <v>0</v>
      </c>
      <c r="G167" s="6" t="n">
        <v>67</v>
      </c>
      <c r="H167" s="6" t="n">
        <v>62</v>
      </c>
      <c r="I167" s="6" t="n">
        <v>2</v>
      </c>
      <c r="J167" s="6" t="n">
        <v>1</v>
      </c>
      <c r="K167" s="6" t="n">
        <v>66</v>
      </c>
      <c r="L167" s="6" t="n">
        <v>1</v>
      </c>
      <c r="M167" s="5" t="n">
        <f aca="false">IF(AND(K167="",L167=""),"",SUM(K167:L167))</f>
        <v>67</v>
      </c>
      <c r="N167" s="6" t="n">
        <v>26</v>
      </c>
      <c r="O167" s="6" t="n">
        <v>41</v>
      </c>
      <c r="P167" s="10" t="n">
        <f aca="false">IF(OR(M167="",M167=0),"",IF(N167="",0,N167)/M167)</f>
        <v>0.388059701492537</v>
      </c>
      <c r="Q167" s="7"/>
      <c r="R167" s="11" t="n">
        <f aca="false">A167+5</f>
        <v>46053</v>
      </c>
      <c r="S167" s="5" t="n">
        <f aca="false">IF(R167&gt;=DATE(YEAR(R167)+1,1,4)-WEEKDAY(DATE(YEAR(R167)+1,1,4))+1,YEAR(R167)+1,IF(R167&lt;DATE(YEAR(R167),1,4)-WEEKDAY(DATE(YEAR(R167),1,4))+1,YEAR(R167)-1,YEAR(R167)))</f>
        <v>2026</v>
      </c>
      <c r="T167" s="5" t="n">
        <f aca="false">INT((R167-(DATE(S167,1,4)-WEEKDAY(DATE(S167,1,4))+1))/7)+1</f>
        <v>4</v>
      </c>
      <c r="U167" s="5" t="str">
        <f aca="false">IF(T167&gt;=36,S167&amp;"-"&amp;RIGHT(S167+1,2),(S167-1)&amp;"-"&amp;RIGHT(S167,2))</f>
        <v>2025-26</v>
      </c>
    </row>
    <row r="168" customFormat="false" ht="15" hidden="false" customHeight="false" outlineLevel="0" collapsed="false">
      <c r="A168" s="8" t="n">
        <v>46055</v>
      </c>
      <c r="B168" s="6" t="n">
        <v>2</v>
      </c>
      <c r="C168" s="6" t="n">
        <v>47</v>
      </c>
      <c r="D168" s="6" t="n">
        <v>6</v>
      </c>
      <c r="E168" s="6" t="n">
        <v>0</v>
      </c>
      <c r="F168" s="6" t="n">
        <v>0</v>
      </c>
      <c r="G168" s="6" t="n">
        <v>49</v>
      </c>
      <c r="H168" s="6" t="n">
        <v>44</v>
      </c>
      <c r="I168" s="6" t="n">
        <v>6</v>
      </c>
      <c r="J168" s="6" t="n">
        <v>6</v>
      </c>
      <c r="K168" s="6" t="n">
        <v>45</v>
      </c>
      <c r="L168" s="6" t="n">
        <v>4</v>
      </c>
      <c r="M168" s="5" t="n">
        <f aca="false">IF(AND(K168="",L168=""),"",SUM(K168:L168))</f>
        <v>49</v>
      </c>
      <c r="N168" s="6" t="n">
        <v>17</v>
      </c>
      <c r="O168" s="6" t="n">
        <v>32</v>
      </c>
      <c r="P168" s="10" t="n">
        <f aca="false">IF(OR(M168="",M168=0),"",IF(N168="",0,N168)/M168)</f>
        <v>0.346938775510204</v>
      </c>
      <c r="Q168" s="7"/>
      <c r="R168" s="11" t="n">
        <f aca="false">A168+5</f>
        <v>46060</v>
      </c>
      <c r="S168" s="5" t="n">
        <f aca="false">IF(R168&gt;=DATE(YEAR(R168)+1,1,4)-WEEKDAY(DATE(YEAR(R168)+1,1,4))+1,YEAR(R168)+1,IF(R168&lt;DATE(YEAR(R168),1,4)-WEEKDAY(DATE(YEAR(R168),1,4))+1,YEAR(R168)-1,YEAR(R168)))</f>
        <v>2026</v>
      </c>
      <c r="T168" s="5" t="n">
        <f aca="false">INT((R168-(DATE(S168,1,4)-WEEKDAY(DATE(S168,1,4))+1))/7)+1</f>
        <v>5</v>
      </c>
      <c r="U168" s="5" t="str">
        <f aca="false">IF(T168&gt;=36,S168&amp;"-"&amp;RIGHT(S168+1,2),(S168-1)&amp;"-"&amp;RIGHT(S168,2))</f>
        <v>2025-26</v>
      </c>
    </row>
    <row r="169" customFormat="false" ht="15" hidden="false" customHeight="false" outlineLevel="0" collapsed="false">
      <c r="A169" s="8" t="n">
        <v>46062</v>
      </c>
      <c r="B169" s="6" t="n">
        <v>1</v>
      </c>
      <c r="C169" s="6" t="n">
        <v>15</v>
      </c>
      <c r="D169" s="6" t="n">
        <v>10</v>
      </c>
      <c r="E169" s="6" t="n">
        <v>0</v>
      </c>
      <c r="F169" s="6" t="n">
        <v>0</v>
      </c>
      <c r="G169" s="6" t="n">
        <v>21</v>
      </c>
      <c r="H169" s="6" t="n">
        <v>13</v>
      </c>
      <c r="I169" s="6" t="n">
        <v>12</v>
      </c>
      <c r="J169" s="6" t="n">
        <v>11</v>
      </c>
      <c r="K169" s="6" t="n">
        <v>15</v>
      </c>
      <c r="L169" s="6" t="n">
        <v>6</v>
      </c>
      <c r="M169" s="5" t="n">
        <f aca="false">IF(AND(K169="",L169=""),"",SUM(K169:L169))</f>
        <v>21</v>
      </c>
      <c r="N169" s="6" t="n">
        <v>2</v>
      </c>
      <c r="O169" s="6" t="n">
        <v>19</v>
      </c>
      <c r="P169" s="10" t="n">
        <f aca="false">IF(OR(M169="",M169=0),"",IF(N169="",0,N169)/M169)</f>
        <v>0.0952380952380952</v>
      </c>
      <c r="Q169" s="7"/>
      <c r="R169" s="11" t="n">
        <f aca="false">A169+5</f>
        <v>46067</v>
      </c>
      <c r="S169" s="5" t="n">
        <f aca="false">IF(R169&gt;=DATE(YEAR(R169)+1,1,4)-WEEKDAY(DATE(YEAR(R169)+1,1,4))+1,YEAR(R169)+1,IF(R169&lt;DATE(YEAR(R169),1,4)-WEEKDAY(DATE(YEAR(R169),1,4))+1,YEAR(R169)-1,YEAR(R169)))</f>
        <v>2026</v>
      </c>
      <c r="T169" s="5" t="n">
        <f aca="false">INT((R169-(DATE(S169,1,4)-WEEKDAY(DATE(S169,1,4))+1))/7)+1</f>
        <v>6</v>
      </c>
      <c r="U169" s="5" t="str">
        <f aca="false">IF(T169&gt;=36,S169&amp;"-"&amp;RIGHT(S169+1,2),(S169-1)&amp;"-"&amp;RIGHT(S169,2))</f>
        <v>2025-26</v>
      </c>
    </row>
    <row r="170" customFormat="false" ht="15" hidden="false" customHeight="false" outlineLevel="0" collapsed="false">
      <c r="A170" s="8" t="n">
        <v>46069</v>
      </c>
      <c r="B170" s="6" t="n">
        <v>2</v>
      </c>
      <c r="C170" s="6" t="n">
        <v>7</v>
      </c>
      <c r="D170" s="6" t="n">
        <v>5</v>
      </c>
      <c r="E170" s="6" t="n">
        <v>0</v>
      </c>
      <c r="F170" s="6" t="n">
        <v>0</v>
      </c>
      <c r="G170" s="6" t="n">
        <v>13</v>
      </c>
      <c r="H170" s="6" t="n">
        <v>2</v>
      </c>
      <c r="I170" s="6" t="n">
        <v>6</v>
      </c>
      <c r="J170" s="6" t="n">
        <v>4</v>
      </c>
      <c r="K170" s="6" t="n">
        <v>4</v>
      </c>
      <c r="L170" s="6" t="n">
        <v>9</v>
      </c>
      <c r="M170" s="5" t="n">
        <f aca="false">IF(AND(K170="",L170=""),"",SUM(K170:L170))</f>
        <v>13</v>
      </c>
      <c r="N170" s="6" t="n">
        <v>2</v>
      </c>
      <c r="O170" s="6" t="n">
        <v>11</v>
      </c>
      <c r="P170" s="10" t="n">
        <f aca="false">IF(OR(M170="",M170=0),"",IF(N170="",0,N170)/M170)</f>
        <v>0.153846153846154</v>
      </c>
      <c r="Q170" s="7"/>
      <c r="R170" s="11" t="n">
        <f aca="false">A170+5</f>
        <v>46074</v>
      </c>
      <c r="S170" s="5" t="n">
        <f aca="false">IF(R170&gt;=DATE(YEAR(R170)+1,1,4)-WEEKDAY(DATE(YEAR(R170)+1,1,4))+1,YEAR(R170)+1,IF(R170&lt;DATE(YEAR(R170),1,4)-WEEKDAY(DATE(YEAR(R170),1,4))+1,YEAR(R170)-1,YEAR(R170)))</f>
        <v>2026</v>
      </c>
      <c r="T170" s="5" t="n">
        <f aca="false">INT((R170-(DATE(S170,1,4)-WEEKDAY(DATE(S170,1,4))+1))/7)+1</f>
        <v>7</v>
      </c>
      <c r="U170" s="5" t="str">
        <f aca="false">IF(T170&gt;=36,S170&amp;"-"&amp;RIGHT(S170+1,2),(S170-1)&amp;"-"&amp;RIGHT(S170,2))</f>
        <v>2025-26</v>
      </c>
    </row>
    <row r="171" customFormat="false" ht="15" hidden="false" customHeight="false" outlineLevel="0" collapsed="false">
      <c r="A171" s="8" t="n">
        <v>46076</v>
      </c>
      <c r="B171" s="6" t="n">
        <v>2</v>
      </c>
      <c r="C171" s="6" t="n">
        <v>7</v>
      </c>
      <c r="D171" s="6" t="n">
        <v>4</v>
      </c>
      <c r="E171" s="6" t="n">
        <v>0</v>
      </c>
      <c r="F171" s="6" t="n">
        <v>0</v>
      </c>
      <c r="G171" s="6" t="n">
        <v>2</v>
      </c>
      <c r="H171" s="6" t="n">
        <v>2</v>
      </c>
      <c r="I171" s="6" t="n">
        <v>3</v>
      </c>
      <c r="J171" s="6" t="n">
        <v>2</v>
      </c>
      <c r="K171" s="6" t="n">
        <v>2</v>
      </c>
      <c r="L171" s="6" t="n">
        <v>0</v>
      </c>
      <c r="M171" s="5" t="n">
        <f aca="false">IF(AND(K171="",L171=""),"",SUM(K171:L171))</f>
        <v>2</v>
      </c>
      <c r="N171" s="6" t="n">
        <v>0</v>
      </c>
      <c r="O171" s="6" t="n">
        <v>2</v>
      </c>
      <c r="P171" s="10" t="n">
        <f aca="false">IF(OR(M171="",M171=0),"",IF(N171="",0,N171)/M171)</f>
        <v>0</v>
      </c>
      <c r="Q171" s="7"/>
      <c r="R171" s="11" t="n">
        <f aca="false">A171+5</f>
        <v>46081</v>
      </c>
      <c r="S171" s="5" t="n">
        <f aca="false">IF(R171&gt;=DATE(YEAR(R171)+1,1,4)-WEEKDAY(DATE(YEAR(R171)+1,1,4))+1,YEAR(R171)+1,IF(R171&lt;DATE(YEAR(R171),1,4)-WEEKDAY(DATE(YEAR(R171),1,4))+1,YEAR(R171)-1,YEAR(R171)))</f>
        <v>2026</v>
      </c>
      <c r="T171" s="5" t="n">
        <f aca="false">INT((R171-(DATE(S171,1,4)-WEEKDAY(DATE(S171,1,4))+1))/7)+1</f>
        <v>8</v>
      </c>
      <c r="U171" s="5" t="str">
        <f aca="false">IF(T171&gt;=36,S171&amp;"-"&amp;RIGHT(S171+1,2),(S171-1)&amp;"-"&amp;RIGHT(S171,2))</f>
        <v>2025-26</v>
      </c>
    </row>
    <row r="172" customFormat="false" ht="15" hidden="false" customHeight="false" outlineLevel="0" collapsed="false">
      <c r="A172" s="8" t="n">
        <v>46083</v>
      </c>
      <c r="B172" s="6" t="n">
        <v>0</v>
      </c>
      <c r="C172" s="6" t="n">
        <v>5</v>
      </c>
      <c r="D172" s="6" t="n">
        <v>6</v>
      </c>
      <c r="E172" s="6" t="n">
        <v>0</v>
      </c>
      <c r="F172" s="6" t="n">
        <v>0</v>
      </c>
      <c r="G172" s="6" t="n">
        <v>5</v>
      </c>
      <c r="H172" s="6" t="n">
        <v>3</v>
      </c>
      <c r="I172" s="6" t="n">
        <v>6</v>
      </c>
      <c r="J172" s="6" t="n">
        <v>6</v>
      </c>
      <c r="K172" s="6" t="n">
        <v>1</v>
      </c>
      <c r="L172" s="6" t="n">
        <v>4</v>
      </c>
      <c r="M172" s="5" t="n">
        <f aca="false">IF(AND(K172="",L172=""),"",SUM(K172:L172))</f>
        <v>5</v>
      </c>
      <c r="N172" s="6" t="n">
        <v>1</v>
      </c>
      <c r="O172" s="6" t="n">
        <v>4</v>
      </c>
      <c r="P172" s="10" t="n">
        <f aca="false">IF(OR(M172="",M172=0),"",IF(N172="",0,N172)/M172)</f>
        <v>0.2</v>
      </c>
      <c r="Q172" s="7"/>
      <c r="R172" s="11" t="n">
        <f aca="false">A172+5</f>
        <v>46088</v>
      </c>
      <c r="S172" s="5" t="n">
        <f aca="false">IF(R172&gt;=DATE(YEAR(R172)+1,1,4)-WEEKDAY(DATE(YEAR(R172)+1,1,4))+1,YEAR(R172)+1,IF(R172&lt;DATE(YEAR(R172),1,4)-WEEKDAY(DATE(YEAR(R172),1,4))+1,YEAR(R172)-1,YEAR(R172)))</f>
        <v>2026</v>
      </c>
      <c r="T172" s="5" t="n">
        <f aca="false">INT((R172-(DATE(S172,1,4)-WEEKDAY(DATE(S172,1,4))+1))/7)+1</f>
        <v>9</v>
      </c>
      <c r="U172" s="5" t="str">
        <f aca="false">IF(T172&gt;=36,S172&amp;"-"&amp;RIGHT(S172+1,2),(S172-1)&amp;"-"&amp;RIGHT(S172,2))</f>
        <v>2025-26</v>
      </c>
    </row>
    <row r="173" customFormat="false" ht="15" hidden="false" customHeight="false" outlineLevel="0" collapsed="false">
      <c r="A173" s="8" t="n">
        <v>46090</v>
      </c>
      <c r="B173" s="6" t="n">
        <v>0</v>
      </c>
      <c r="C173" s="6" t="n">
        <v>5</v>
      </c>
      <c r="D173" s="6" t="n">
        <v>0</v>
      </c>
      <c r="E173" s="6" t="n">
        <v>0</v>
      </c>
      <c r="F173" s="6" t="n">
        <v>0</v>
      </c>
      <c r="G173" s="6" t="n">
        <v>4</v>
      </c>
      <c r="H173" s="6" t="n">
        <v>2</v>
      </c>
      <c r="I173" s="6" t="n">
        <v>0</v>
      </c>
      <c r="J173" s="6" t="n">
        <v>0</v>
      </c>
      <c r="K173" s="6" t="n">
        <v>0</v>
      </c>
      <c r="L173" s="6" t="n">
        <v>4</v>
      </c>
      <c r="M173" s="5" t="n">
        <f aca="false">IF(AND(K173="",L173=""),"",SUM(K173:L173))</f>
        <v>4</v>
      </c>
      <c r="N173" s="6" t="n">
        <v>0</v>
      </c>
      <c r="O173" s="6" t="n">
        <v>4</v>
      </c>
      <c r="P173" s="10" t="n">
        <f aca="false">IF(OR(M173="",M173=0),"",IF(N173="",0,N173)/M173)</f>
        <v>0</v>
      </c>
      <c r="Q173" s="7"/>
      <c r="R173" s="11" t="n">
        <f aca="false">A173+5</f>
        <v>46095</v>
      </c>
      <c r="S173" s="5" t="n">
        <f aca="false">IF(R173&gt;=DATE(YEAR(R173)+1,1,4)-WEEKDAY(DATE(YEAR(R173)+1,1,4))+1,YEAR(R173)+1,IF(R173&lt;DATE(YEAR(R173),1,4)-WEEKDAY(DATE(YEAR(R173),1,4))+1,YEAR(R173)-1,YEAR(R173)))</f>
        <v>2026</v>
      </c>
      <c r="T173" s="5" t="n">
        <f aca="false">INT((R173-(DATE(S173,1,4)-WEEKDAY(DATE(S173,1,4))+1))/7)+1</f>
        <v>10</v>
      </c>
      <c r="U173" s="5" t="str">
        <f aca="false">IF(T173&gt;=36,S173&amp;"-"&amp;RIGHT(S173+1,2),(S173-1)&amp;"-"&amp;RIGHT(S173,2))</f>
        <v>2025-26</v>
      </c>
    </row>
    <row r="174" customFormat="false" ht="15" hidden="false" customHeight="false" outlineLevel="0" collapsed="false">
      <c r="A174" s="8" t="n">
        <v>46097</v>
      </c>
      <c r="B174" s="6" t="n">
        <v>4</v>
      </c>
      <c r="C174" s="6" t="n">
        <v>6</v>
      </c>
      <c r="D174" s="6" t="n">
        <v>2</v>
      </c>
      <c r="E174" s="6" t="n">
        <v>0</v>
      </c>
      <c r="F174" s="6" t="n">
        <v>0</v>
      </c>
      <c r="G174" s="6" t="n">
        <v>5</v>
      </c>
      <c r="H174" s="6" t="n">
        <v>3</v>
      </c>
      <c r="I174" s="6" t="n">
        <v>2</v>
      </c>
      <c r="J174" s="6" t="n">
        <v>2</v>
      </c>
      <c r="K174" s="6" t="n">
        <v>0</v>
      </c>
      <c r="L174" s="6" t="n">
        <v>5</v>
      </c>
      <c r="M174" s="5" t="n">
        <f aca="false">IF(AND(K174="",L174=""),"",SUM(K174:L174))</f>
        <v>5</v>
      </c>
      <c r="N174" s="6" t="n">
        <v>3</v>
      </c>
      <c r="O174" s="6" t="n">
        <v>2</v>
      </c>
      <c r="P174" s="10" t="n">
        <f aca="false">IF(OR(M174="",M174=0),"",IF(N174="",0,N174)/M174)</f>
        <v>0.6</v>
      </c>
      <c r="Q174" s="7"/>
      <c r="R174" s="11" t="n">
        <f aca="false">A174+5</f>
        <v>46102</v>
      </c>
      <c r="S174" s="5" t="n">
        <f aca="false">IF(R174&gt;=DATE(YEAR(R174)+1,1,4)-WEEKDAY(DATE(YEAR(R174)+1,1,4))+1,YEAR(R174)+1,IF(R174&lt;DATE(YEAR(R174),1,4)-WEEKDAY(DATE(YEAR(R174),1,4))+1,YEAR(R174)-1,YEAR(R174)))</f>
        <v>2026</v>
      </c>
      <c r="T174" s="5" t="n">
        <f aca="false">INT((R174-(DATE(S174,1,4)-WEEKDAY(DATE(S174,1,4))+1))/7)+1</f>
        <v>11</v>
      </c>
      <c r="U174" s="5" t="str">
        <f aca="false">IF(T174&gt;=36,S174&amp;"-"&amp;RIGHT(S174+1,2),(S174-1)&amp;"-"&amp;RIGHT(S174,2))</f>
        <v>2025-26</v>
      </c>
    </row>
    <row r="175" customFormat="false" ht="15" hidden="false" customHeight="false" outlineLevel="0" collapsed="false">
      <c r="A175" s="8" t="n">
        <v>46104</v>
      </c>
      <c r="B175" s="6" t="n">
        <v>1</v>
      </c>
      <c r="C175" s="6" t="n">
        <v>7</v>
      </c>
      <c r="D175" s="6" t="n">
        <v>1</v>
      </c>
      <c r="E175" s="6" t="n">
        <v>0</v>
      </c>
      <c r="F175" s="6" t="n">
        <v>0</v>
      </c>
      <c r="G175" s="6" t="n">
        <v>6</v>
      </c>
      <c r="H175" s="6" t="n">
        <v>5</v>
      </c>
      <c r="I175" s="6" t="n">
        <v>1</v>
      </c>
      <c r="J175" s="6" t="n">
        <v>1</v>
      </c>
      <c r="K175" s="6" t="n">
        <v>1</v>
      </c>
      <c r="L175" s="6" t="n">
        <v>5</v>
      </c>
      <c r="M175" s="5" t="n">
        <f aca="false">IF(AND(K175="",L175=""),"",SUM(K175:L175))</f>
        <v>6</v>
      </c>
      <c r="N175" s="6" t="n">
        <v>3</v>
      </c>
      <c r="O175" s="6" t="n">
        <v>3</v>
      </c>
      <c r="P175" s="10" t="n">
        <f aca="false">IF(OR(M175="",M175=0),"",IF(N175="",0,N175)/M175)</f>
        <v>0.5</v>
      </c>
      <c r="Q175" s="7"/>
      <c r="R175" s="11" t="n">
        <f aca="false">A175+5</f>
        <v>46109</v>
      </c>
      <c r="S175" s="5" t="n">
        <f aca="false">IF(R175&gt;=DATE(YEAR(R175)+1,1,4)-WEEKDAY(DATE(YEAR(R175)+1,1,4))+1,YEAR(R175)+1,IF(R175&lt;DATE(YEAR(R175),1,4)-WEEKDAY(DATE(YEAR(R175),1,4))+1,YEAR(R175)-1,YEAR(R175)))</f>
        <v>2026</v>
      </c>
      <c r="T175" s="5" t="n">
        <f aca="false">INT((R175-(DATE(S175,1,4)-WEEKDAY(DATE(S175,1,4))+1))/7)+1</f>
        <v>12</v>
      </c>
      <c r="U175" s="5" t="str">
        <f aca="false">IF(T175&gt;=36,S175&amp;"-"&amp;RIGHT(S175+1,2),(S175-1)&amp;"-"&amp;RIGHT(S175,2))</f>
        <v>2025-26</v>
      </c>
    </row>
    <row r="176" customFormat="false" ht="15" hidden="false" customHeight="false" outlineLevel="0" collapsed="false">
      <c r="A176" s="8" t="n">
        <v>46111</v>
      </c>
      <c r="B176" s="6" t="n">
        <v>1</v>
      </c>
      <c r="C176" s="6" t="n">
        <v>2</v>
      </c>
      <c r="D176" s="6" t="n">
        <v>0</v>
      </c>
      <c r="E176" s="6"/>
      <c r="F176" s="6"/>
      <c r="G176" s="6"/>
      <c r="H176" s="6"/>
      <c r="I176" s="6"/>
      <c r="J176" s="6"/>
      <c r="K176" s="6"/>
      <c r="L176" s="6"/>
      <c r="M176" s="5" t="str">
        <f aca="false">IF(AND(K176="",L176=""),"",SUM(K176:L176))</f>
        <v/>
      </c>
      <c r="N176" s="6"/>
      <c r="O176" s="6"/>
      <c r="P176" s="10" t="str">
        <f aca="false">IF(OR(M176="",M176=0),"",IF(N176="",0,N176)/M176)</f>
        <v/>
      </c>
      <c r="Q176" s="7"/>
      <c r="R176" s="11" t="n">
        <f aca="false">A176+5</f>
        <v>46116</v>
      </c>
      <c r="S176" s="5" t="n">
        <f aca="false">IF(R176&gt;=DATE(YEAR(R176)+1,1,4)-WEEKDAY(DATE(YEAR(R176)+1,1,4))+1,YEAR(R176)+1,IF(R176&lt;DATE(YEAR(R176),1,4)-WEEKDAY(DATE(YEAR(R176),1,4))+1,YEAR(R176)-1,YEAR(R176)))</f>
        <v>2026</v>
      </c>
      <c r="T176" s="5" t="n">
        <f aca="false">INT((R176-(DATE(S176,1,4)-WEEKDAY(DATE(S176,1,4))+1))/7)+1</f>
        <v>13</v>
      </c>
      <c r="U176" s="5" t="str">
        <f aca="false">IF(T176&gt;=36,S176&amp;"-"&amp;RIGHT(S176+1,2),(S176-1)&amp;"-"&amp;RIGHT(S176,2))</f>
        <v>2025-26</v>
      </c>
    </row>
    <row r="177" customFormat="false" ht="15" hidden="false" customHeight="false" outlineLevel="0" collapsed="false">
      <c r="A177" s="8" t="n">
        <v>46118</v>
      </c>
      <c r="B177" s="6" t="n">
        <v>1</v>
      </c>
      <c r="C177" s="6" t="n">
        <v>1</v>
      </c>
      <c r="D177" s="6" t="n">
        <v>1</v>
      </c>
      <c r="E177" s="6"/>
      <c r="F177" s="6"/>
      <c r="G177" s="6"/>
      <c r="H177" s="6"/>
      <c r="I177" s="6"/>
      <c r="J177" s="6"/>
      <c r="K177" s="6"/>
      <c r="L177" s="6"/>
      <c r="M177" s="5" t="str">
        <f aca="false">IF(AND(K177="",L177=""),"",SUM(K177:L177))</f>
        <v/>
      </c>
      <c r="N177" s="6"/>
      <c r="O177" s="6"/>
      <c r="P177" s="10" t="str">
        <f aca="false">IF(OR(M177="",M177=0),"",IF(N177="",0,N177)/M177)</f>
        <v/>
      </c>
      <c r="Q177" s="7"/>
      <c r="R177" s="11" t="n">
        <f aca="false">A177+5</f>
        <v>46123</v>
      </c>
      <c r="S177" s="5" t="n">
        <f aca="false">IF(R177&gt;=DATE(YEAR(R177)+1,1,4)-WEEKDAY(DATE(YEAR(R177)+1,1,4))+1,YEAR(R177)+1,IF(R177&lt;DATE(YEAR(R177),1,4)-WEEKDAY(DATE(YEAR(R177),1,4))+1,YEAR(R177)-1,YEAR(R177)))</f>
        <v>2026</v>
      </c>
      <c r="T177" s="5" t="n">
        <f aca="false">INT((R177-(DATE(S177,1,4)-WEEKDAY(DATE(S177,1,4))+1))/7)+1</f>
        <v>14</v>
      </c>
      <c r="U177" s="5" t="str">
        <f aca="false">IF(T177&gt;=36,S177&amp;"-"&amp;RIGHT(S177+1,2),(S177-1)&amp;"-"&amp;RIGHT(S177,2))</f>
        <v>2025-26</v>
      </c>
    </row>
    <row r="178" customFormat="false" ht="15" hidden="false" customHeight="false" outlineLevel="0" collapsed="false">
      <c r="A178" s="8" t="n">
        <v>46125</v>
      </c>
      <c r="B178" s="6" t="n">
        <v>5</v>
      </c>
      <c r="C178" s="6" t="n">
        <v>0</v>
      </c>
      <c r="D178" s="6" t="n">
        <v>0</v>
      </c>
      <c r="E178" s="6"/>
      <c r="F178" s="6"/>
      <c r="G178" s="6"/>
      <c r="H178" s="6"/>
      <c r="I178" s="6"/>
      <c r="J178" s="6"/>
      <c r="K178" s="6"/>
      <c r="L178" s="6"/>
      <c r="M178" s="5" t="str">
        <f aca="false">IF(AND(K178="",L178=""),"",SUM(K178:L178))</f>
        <v/>
      </c>
      <c r="N178" s="6"/>
      <c r="O178" s="6"/>
      <c r="P178" s="10" t="str">
        <f aca="false">IF(OR(M178="",M178=0),"",IF(N178="",0,N178)/M178)</f>
        <v/>
      </c>
      <c r="Q178" s="7"/>
      <c r="R178" s="11" t="n">
        <f aca="false">A178+5</f>
        <v>46130</v>
      </c>
      <c r="S178" s="5" t="n">
        <f aca="false">IF(R178&gt;=DATE(YEAR(R178)+1,1,4)-WEEKDAY(DATE(YEAR(R178)+1,1,4))+1,YEAR(R178)+1,IF(R178&lt;DATE(YEAR(R178),1,4)-WEEKDAY(DATE(YEAR(R178),1,4))+1,YEAR(R178)-1,YEAR(R178)))</f>
        <v>2026</v>
      </c>
      <c r="T178" s="5" t="n">
        <f aca="false">INT((R178-(DATE(S178,1,4)-WEEKDAY(DATE(S178,1,4))+1))/7)+1</f>
        <v>15</v>
      </c>
      <c r="U178" s="5" t="str">
        <f aca="false">IF(T178&gt;=36,S178&amp;"-"&amp;RIGHT(S178+1,2),(S178-1)&amp;"-"&amp;RIGHT(S178,2))</f>
        <v>2025-26</v>
      </c>
    </row>
    <row r="179" customFormat="false" ht="15" hidden="false" customHeight="false" outlineLevel="0" collapsed="false">
      <c r="A179" s="8" t="n">
        <v>46132</v>
      </c>
      <c r="B179" s="6" t="n">
        <v>1</v>
      </c>
      <c r="C179" s="6" t="n">
        <v>1</v>
      </c>
      <c r="D179" s="6" t="n">
        <v>0</v>
      </c>
      <c r="E179" s="6"/>
      <c r="F179" s="6"/>
      <c r="G179" s="6"/>
      <c r="H179" s="6"/>
      <c r="I179" s="6"/>
      <c r="J179" s="6"/>
      <c r="K179" s="6"/>
      <c r="L179" s="6"/>
      <c r="M179" s="5" t="str">
        <f aca="false">IF(AND(K179="",L179=""),"",SUM(K179:L179))</f>
        <v/>
      </c>
      <c r="N179" s="6"/>
      <c r="O179" s="6"/>
      <c r="P179" s="10" t="str">
        <f aca="false">IF(OR(M179="",M179=0),"",IF(N179="",0,N179)/M179)</f>
        <v/>
      </c>
      <c r="Q179" s="7"/>
      <c r="R179" s="11" t="n">
        <f aca="false">A179+5</f>
        <v>46137</v>
      </c>
      <c r="S179" s="5" t="n">
        <f aca="false">IF(R179&gt;=DATE(YEAR(R179)+1,1,4)-WEEKDAY(DATE(YEAR(R179)+1,1,4))+1,YEAR(R179)+1,IF(R179&lt;DATE(YEAR(R179),1,4)-WEEKDAY(DATE(YEAR(R179),1,4))+1,YEAR(R179)-1,YEAR(R179)))</f>
        <v>2026</v>
      </c>
      <c r="T179" s="5" t="n">
        <f aca="false">INT((R179-(DATE(S179,1,4)-WEEKDAY(DATE(S179,1,4))+1))/7)+1</f>
        <v>16</v>
      </c>
      <c r="U179" s="5" t="str">
        <f aca="false">IF(T179&gt;=36,S179&amp;"-"&amp;RIGHT(S179+1,2),(S179-1)&amp;"-"&amp;RIGHT(S179,2))</f>
        <v>2025-26</v>
      </c>
    </row>
    <row r="180" customFormat="false" ht="15" hidden="false" customHeight="false" outlineLevel="0" collapsed="false">
      <c r="A180" s="8" t="n">
        <v>46139</v>
      </c>
      <c r="B180" s="6" t="n">
        <v>0</v>
      </c>
      <c r="C180" s="6" t="n">
        <v>0</v>
      </c>
      <c r="D180" s="6" t="n">
        <v>0</v>
      </c>
      <c r="E180" s="6"/>
      <c r="F180" s="6"/>
      <c r="G180" s="6"/>
      <c r="H180" s="6"/>
      <c r="I180" s="6"/>
      <c r="J180" s="6"/>
      <c r="K180" s="6"/>
      <c r="L180" s="6"/>
      <c r="M180" s="5" t="str">
        <f aca="false">IF(AND(K180="",L180=""),"",SUM(K180:L180))</f>
        <v/>
      </c>
      <c r="N180" s="6"/>
      <c r="O180" s="6"/>
      <c r="P180" s="10" t="str">
        <f aca="false">IF(OR(M180="",M180=0),"",IF(N180="",0,N180)/M180)</f>
        <v/>
      </c>
      <c r="Q180" s="7"/>
      <c r="R180" s="11" t="n">
        <f aca="false">A180+5</f>
        <v>46144</v>
      </c>
      <c r="S180" s="5" t="n">
        <f aca="false">IF(R180&gt;=DATE(YEAR(R180)+1,1,4)-WEEKDAY(DATE(YEAR(R180)+1,1,4))+1,YEAR(R180)+1,IF(R180&lt;DATE(YEAR(R180),1,4)-WEEKDAY(DATE(YEAR(R180),1,4))+1,YEAR(R180)-1,YEAR(R180)))</f>
        <v>2026</v>
      </c>
      <c r="T180" s="5" t="n">
        <f aca="false">INT((R180-(DATE(S180,1,4)-WEEKDAY(DATE(S180,1,4))+1))/7)+1</f>
        <v>17</v>
      </c>
      <c r="U180" s="5" t="str">
        <f aca="false">IF(T180&gt;=36,S180&amp;"-"&amp;RIGHT(S180+1,2),(S180-1)&amp;"-"&amp;RIGHT(S180,2))</f>
        <v>2025-26</v>
      </c>
    </row>
    <row r="181" customFormat="false" ht="15" hidden="false" customHeight="false" outlineLevel="0" collapsed="false">
      <c r="A181" s="8" t="n">
        <v>46146</v>
      </c>
      <c r="B181" s="6" t="n">
        <v>0</v>
      </c>
      <c r="C181" s="6" t="n">
        <v>0</v>
      </c>
      <c r="D181" s="6" t="n">
        <v>2</v>
      </c>
      <c r="E181" s="6"/>
      <c r="F181" s="6"/>
      <c r="G181" s="6"/>
      <c r="H181" s="6"/>
      <c r="I181" s="6"/>
      <c r="J181" s="6"/>
      <c r="K181" s="6"/>
      <c r="L181" s="6"/>
      <c r="M181" s="5" t="str">
        <f aca="false">IF(AND(K181="",L181=""),"",SUM(K181:L181))</f>
        <v/>
      </c>
      <c r="N181" s="6"/>
      <c r="O181" s="6"/>
      <c r="P181" s="10" t="str">
        <f aca="false">IF(OR(M181="",M181=0),"",IF(N181="",0,N181)/M181)</f>
        <v/>
      </c>
      <c r="Q181" s="7"/>
      <c r="R181" s="11" t="n">
        <f aca="false">A181+5</f>
        <v>46151</v>
      </c>
      <c r="S181" s="5" t="n">
        <f aca="false">IF(R181&gt;=DATE(YEAR(R181)+1,1,4)-WEEKDAY(DATE(YEAR(R181)+1,1,4))+1,YEAR(R181)+1,IF(R181&lt;DATE(YEAR(R181),1,4)-WEEKDAY(DATE(YEAR(R181),1,4))+1,YEAR(R181)-1,YEAR(R181)))</f>
        <v>2026</v>
      </c>
      <c r="T181" s="5" t="n">
        <f aca="false">INT((R181-(DATE(S181,1,4)-WEEKDAY(DATE(S181,1,4))+1))/7)+1</f>
        <v>18</v>
      </c>
      <c r="U181" s="5" t="str">
        <f aca="false">IF(T181&gt;=36,S181&amp;"-"&amp;RIGHT(S181+1,2),(S181-1)&amp;"-"&amp;RIGHT(S181,2))</f>
        <v>2025-26</v>
      </c>
    </row>
    <row r="182" customFormat="false" ht="15" hidden="false" customHeight="false" outlineLevel="0" collapsed="false">
      <c r="A182" s="8" t="n">
        <v>46153</v>
      </c>
      <c r="B182" s="6" t="n">
        <v>0</v>
      </c>
      <c r="C182" s="6" t="n">
        <v>0</v>
      </c>
      <c r="D182" s="6" t="n">
        <v>0</v>
      </c>
      <c r="E182" s="6"/>
      <c r="F182" s="6"/>
      <c r="G182" s="6"/>
      <c r="H182" s="6"/>
      <c r="I182" s="6"/>
      <c r="J182" s="6"/>
      <c r="K182" s="6"/>
      <c r="L182" s="6"/>
      <c r="M182" s="5" t="str">
        <f aca="false">IF(AND(K182="",L182=""),"",SUM(K182:L182))</f>
        <v/>
      </c>
      <c r="N182" s="6"/>
      <c r="O182" s="6"/>
      <c r="P182" s="10" t="str">
        <f aca="false">IF(OR(M182="",M182=0),"",IF(N182="",0,N182)/M182)</f>
        <v/>
      </c>
      <c r="Q182" s="7"/>
      <c r="R182" s="11" t="n">
        <f aca="false">A182+5</f>
        <v>46158</v>
      </c>
      <c r="S182" s="5" t="n">
        <f aca="false">IF(R182&gt;=DATE(YEAR(R182)+1,1,4)-WEEKDAY(DATE(YEAR(R182)+1,1,4))+1,YEAR(R182)+1,IF(R182&lt;DATE(YEAR(R182),1,4)-WEEKDAY(DATE(YEAR(R182),1,4))+1,YEAR(R182)-1,YEAR(R182)))</f>
        <v>2026</v>
      </c>
      <c r="T182" s="5" t="n">
        <f aca="false">INT((R182-(DATE(S182,1,4)-WEEKDAY(DATE(S182,1,4))+1))/7)+1</f>
        <v>19</v>
      </c>
      <c r="U182" s="5" t="str">
        <f aca="false">IF(T182&gt;=36,S182&amp;"-"&amp;RIGHT(S182+1,2),(S182-1)&amp;"-"&amp;RIGHT(S182,2))</f>
        <v>2025-26</v>
      </c>
    </row>
    <row r="183" customFormat="false" ht="15" hidden="false" customHeight="false" outlineLevel="0" collapsed="false">
      <c r="A183" s="8" t="n">
        <v>46160</v>
      </c>
      <c r="B183" s="6" t="n">
        <v>1</v>
      </c>
      <c r="C183" s="6" t="n">
        <v>1</v>
      </c>
      <c r="D183" s="6" t="n">
        <v>2</v>
      </c>
      <c r="E183" s="6"/>
      <c r="F183" s="6"/>
      <c r="G183" s="6"/>
      <c r="H183" s="6"/>
      <c r="I183" s="6"/>
      <c r="J183" s="6"/>
      <c r="K183" s="6"/>
      <c r="L183" s="6"/>
      <c r="M183" s="5" t="str">
        <f aca="false">IF(AND(K183="",L183=""),"",SUM(K183:L183))</f>
        <v/>
      </c>
      <c r="N183" s="6"/>
      <c r="O183" s="6"/>
      <c r="P183" s="10" t="str">
        <f aca="false">IF(OR(M183="",M183=0),"",IF(N183="",0,N183)/M183)</f>
        <v/>
      </c>
      <c r="Q183" s="7"/>
      <c r="R183" s="11" t="n">
        <f aca="false">A183+5</f>
        <v>46165</v>
      </c>
      <c r="S183" s="5" t="n">
        <f aca="false">IF(R183&gt;=DATE(YEAR(R183)+1,1,4)-WEEKDAY(DATE(YEAR(R183)+1,1,4))+1,YEAR(R183)+1,IF(R183&lt;DATE(YEAR(R183),1,4)-WEEKDAY(DATE(YEAR(R183),1,4))+1,YEAR(R183)-1,YEAR(R183)))</f>
        <v>2026</v>
      </c>
      <c r="T183" s="5" t="n">
        <f aca="false">INT((R183-(DATE(S183,1,4)-WEEKDAY(DATE(S183,1,4))+1))/7)+1</f>
        <v>20</v>
      </c>
      <c r="U183" s="5" t="str">
        <f aca="false">IF(T183&gt;=36,S183&amp;"-"&amp;RIGHT(S183+1,2),(S183-1)&amp;"-"&amp;RIGHT(S183,2))</f>
        <v>2025-26</v>
      </c>
    </row>
    <row r="184" customFormat="false" ht="15" hidden="false" customHeight="false" outlineLevel="0" collapsed="false">
      <c r="A184" s="8" t="n">
        <v>46167</v>
      </c>
      <c r="B184" s="6" t="n">
        <v>1</v>
      </c>
      <c r="C184" s="6" t="n">
        <v>2</v>
      </c>
      <c r="D184" s="6" t="n">
        <v>1</v>
      </c>
      <c r="E184" s="6"/>
      <c r="F184" s="6"/>
      <c r="G184" s="6"/>
      <c r="H184" s="6"/>
      <c r="I184" s="6"/>
      <c r="J184" s="6"/>
      <c r="K184" s="6"/>
      <c r="L184" s="6"/>
      <c r="M184" s="5" t="str">
        <f aca="false">IF(AND(K184="",L184=""),"",SUM(K184:L184))</f>
        <v/>
      </c>
      <c r="N184" s="6"/>
      <c r="O184" s="6"/>
      <c r="P184" s="10" t="str">
        <f aca="false">IF(OR(M184="",M184=0),"",IF(N184="",0,N184)/M184)</f>
        <v/>
      </c>
      <c r="Q184" s="7"/>
      <c r="R184" s="11" t="n">
        <f aca="false">A184+5</f>
        <v>46172</v>
      </c>
      <c r="S184" s="5" t="n">
        <f aca="false">IF(R184&gt;=DATE(YEAR(R184)+1,1,4)-WEEKDAY(DATE(YEAR(R184)+1,1,4))+1,YEAR(R184)+1,IF(R184&lt;DATE(YEAR(R184),1,4)-WEEKDAY(DATE(YEAR(R184),1,4))+1,YEAR(R184)-1,YEAR(R184)))</f>
        <v>2026</v>
      </c>
      <c r="T184" s="5" t="n">
        <f aca="false">INT((R184-(DATE(S184,1,4)-WEEKDAY(DATE(S184,1,4))+1))/7)+1</f>
        <v>21</v>
      </c>
      <c r="U184" s="5" t="str">
        <f aca="false">IF(T184&gt;=36,S184&amp;"-"&amp;RIGHT(S184+1,2),(S184-1)&amp;"-"&amp;RIGHT(S184,2))</f>
        <v>2025-26</v>
      </c>
    </row>
    <row r="185" customFormat="false" ht="15" hidden="false" customHeight="false" outlineLevel="0" collapsed="false">
      <c r="A185" s="8" t="n">
        <v>46174</v>
      </c>
      <c r="B185" s="6" t="n">
        <v>0</v>
      </c>
      <c r="C185" s="6" t="n">
        <v>0</v>
      </c>
      <c r="D185" s="6" t="n">
        <v>0</v>
      </c>
      <c r="E185" s="6"/>
      <c r="F185" s="6"/>
      <c r="G185" s="6"/>
      <c r="H185" s="6"/>
      <c r="I185" s="6"/>
      <c r="J185" s="6"/>
      <c r="K185" s="6"/>
      <c r="L185" s="6"/>
      <c r="M185" s="5" t="str">
        <f aca="false">IF(AND(K185="",L185=""),"",SUM(K185:L185))</f>
        <v/>
      </c>
      <c r="N185" s="6"/>
      <c r="O185" s="6"/>
      <c r="P185" s="10" t="str">
        <f aca="false">IF(OR(M185="",M185=0),"",IF(N185="",0,N185)/M185)</f>
        <v/>
      </c>
      <c r="Q185" s="7"/>
      <c r="R185" s="11" t="n">
        <f aca="false">A185+5</f>
        <v>46179</v>
      </c>
      <c r="S185" s="5" t="n">
        <f aca="false">IF(R185&gt;=DATE(YEAR(R185)+1,1,4)-WEEKDAY(DATE(YEAR(R185)+1,1,4))+1,YEAR(R185)+1,IF(R185&lt;DATE(YEAR(R185),1,4)-WEEKDAY(DATE(YEAR(R185),1,4))+1,YEAR(R185)-1,YEAR(R185)))</f>
        <v>2026</v>
      </c>
      <c r="T185" s="5" t="n">
        <f aca="false">INT((R185-(DATE(S185,1,4)-WEEKDAY(DATE(S185,1,4))+1))/7)+1</f>
        <v>22</v>
      </c>
      <c r="U185" s="5" t="str">
        <f aca="false">IF(T185&gt;=36,S185&amp;"-"&amp;RIGHT(S185+1,2),(S185-1)&amp;"-"&amp;RIGHT(S185,2))</f>
        <v>2025-26</v>
      </c>
    </row>
    <row r="186" customFormat="false" ht="15" hidden="false" customHeight="false" outlineLevel="0" collapsed="false">
      <c r="A186" s="8" t="n">
        <v>46181</v>
      </c>
      <c r="B186" s="6" t="n">
        <v>0</v>
      </c>
      <c r="C186" s="6" t="n">
        <v>0</v>
      </c>
      <c r="D186" s="6" t="n">
        <v>1</v>
      </c>
      <c r="E186" s="6"/>
      <c r="F186" s="6"/>
      <c r="G186" s="6"/>
      <c r="H186" s="6"/>
      <c r="I186" s="6"/>
      <c r="J186" s="6"/>
      <c r="K186" s="6"/>
      <c r="L186" s="6"/>
      <c r="M186" s="5" t="str">
        <f aca="false">IF(AND(K186="",L186=""),"",SUM(K186:L186))</f>
        <v/>
      </c>
      <c r="N186" s="6"/>
      <c r="O186" s="6"/>
      <c r="P186" s="10" t="str">
        <f aca="false">IF(OR(M186="",M186=0),"",IF(N186="",0,N186)/M186)</f>
        <v/>
      </c>
      <c r="Q186" s="7"/>
      <c r="R186" s="11" t="n">
        <f aca="false">A186+5</f>
        <v>46186</v>
      </c>
      <c r="S186" s="5" t="n">
        <f aca="false">IF(R186&gt;=DATE(YEAR(R186)+1,1,4)-WEEKDAY(DATE(YEAR(R186)+1,1,4))+1,YEAR(R186)+1,IF(R186&lt;DATE(YEAR(R186),1,4)-WEEKDAY(DATE(YEAR(R186),1,4))+1,YEAR(R186)-1,YEAR(R186)))</f>
        <v>2026</v>
      </c>
      <c r="T186" s="5" t="n">
        <f aca="false">INT((R186-(DATE(S186,1,4)-WEEKDAY(DATE(S186,1,4))+1))/7)+1</f>
        <v>23</v>
      </c>
      <c r="U186" s="5" t="str">
        <f aca="false">IF(T186&gt;=36,S186&amp;"-"&amp;RIGHT(S186+1,2),(S186-1)&amp;"-"&amp;RIGHT(S186,2))</f>
        <v>2025-26</v>
      </c>
    </row>
    <row r="187" customFormat="false" ht="15" hidden="false" customHeight="false" outlineLevel="0" collapsed="false">
      <c r="A187" s="8" t="n">
        <v>46188</v>
      </c>
      <c r="B187" s="6" t="n">
        <v>0</v>
      </c>
      <c r="C187" s="6" t="n">
        <v>6</v>
      </c>
      <c r="D187" s="6" t="n">
        <v>0</v>
      </c>
      <c r="E187" s="6"/>
      <c r="F187" s="6"/>
      <c r="G187" s="6"/>
      <c r="H187" s="6"/>
      <c r="I187" s="6"/>
      <c r="J187" s="6"/>
      <c r="K187" s="6"/>
      <c r="L187" s="6"/>
      <c r="M187" s="5" t="str">
        <f aca="false">IF(AND(K187="",L187=""),"",SUM(K187:L187))</f>
        <v/>
      </c>
      <c r="N187" s="6"/>
      <c r="O187" s="6"/>
      <c r="P187" s="10" t="str">
        <f aca="false">IF(OR(M187="",M187=0),"",IF(N187="",0,N187)/M187)</f>
        <v/>
      </c>
      <c r="Q187" s="7"/>
      <c r="R187" s="11" t="n">
        <f aca="false">A187+5</f>
        <v>46193</v>
      </c>
      <c r="S187" s="5" t="n">
        <f aca="false">IF(R187&gt;=DATE(YEAR(R187)+1,1,4)-WEEKDAY(DATE(YEAR(R187)+1,1,4))+1,YEAR(R187)+1,IF(R187&lt;DATE(YEAR(R187),1,4)-WEEKDAY(DATE(YEAR(R187),1,4))+1,YEAR(R187)-1,YEAR(R187)))</f>
        <v>2026</v>
      </c>
      <c r="T187" s="5" t="n">
        <f aca="false">INT((R187-(DATE(S187,1,4)-WEEKDAY(DATE(S187,1,4))+1))/7)+1</f>
        <v>24</v>
      </c>
      <c r="U187" s="5" t="str">
        <f aca="false">IF(T187&gt;=36,S187&amp;"-"&amp;RIGHT(S187+1,2),(S187-1)&amp;"-"&amp;RIGHT(S187,2))</f>
        <v>2025-26</v>
      </c>
    </row>
    <row r="188" customFormat="false" ht="15" hidden="false" customHeight="false" outlineLevel="0" collapsed="false">
      <c r="A188" s="8" t="n">
        <v>46195</v>
      </c>
      <c r="B188" s="6" t="n">
        <v>0</v>
      </c>
      <c r="C188" s="6" t="n">
        <v>0</v>
      </c>
      <c r="D188" s="6" t="n">
        <v>0</v>
      </c>
      <c r="E188" s="6"/>
      <c r="F188" s="6"/>
      <c r="G188" s="6"/>
      <c r="H188" s="6"/>
      <c r="I188" s="6"/>
      <c r="J188" s="6"/>
      <c r="K188" s="6"/>
      <c r="L188" s="6"/>
      <c r="M188" s="5" t="str">
        <f aca="false">IF(AND(K188="",L188=""),"",SUM(K188:L188))</f>
        <v/>
      </c>
      <c r="N188" s="6"/>
      <c r="O188" s="6"/>
      <c r="P188" s="10" t="str">
        <f aca="false">IF(OR(M188="",M188=0),"",IF(N188="",0,N188)/M188)</f>
        <v/>
      </c>
      <c r="Q188" s="7"/>
      <c r="R188" s="11" t="n">
        <f aca="false">A188+5</f>
        <v>46200</v>
      </c>
      <c r="S188" s="5" t="n">
        <f aca="false">IF(R188&gt;=DATE(YEAR(R188)+1,1,4)-WEEKDAY(DATE(YEAR(R188)+1,1,4))+1,YEAR(R188)+1,IF(R188&lt;DATE(YEAR(R188),1,4)-WEEKDAY(DATE(YEAR(R188),1,4))+1,YEAR(R188)-1,YEAR(R188)))</f>
        <v>2026</v>
      </c>
      <c r="T188" s="5" t="n">
        <f aca="false">INT((R188-(DATE(S188,1,4)-WEEKDAY(DATE(S188,1,4))+1))/7)+1</f>
        <v>25</v>
      </c>
      <c r="U188" s="5" t="str">
        <f aca="false">IF(T188&gt;=36,S188&amp;"-"&amp;RIGHT(S188+1,2),(S188-1)&amp;"-"&amp;RIGHT(S188,2))</f>
        <v>2025-26</v>
      </c>
    </row>
    <row r="189" customFormat="false" ht="15" hidden="false" customHeight="false" outlineLevel="0" collapsed="false">
      <c r="A189" s="8" t="n">
        <v>46202</v>
      </c>
      <c r="B189" s="6" t="n">
        <v>0</v>
      </c>
      <c r="C189" s="6" t="n">
        <v>0</v>
      </c>
      <c r="D189" s="6" t="n">
        <v>0</v>
      </c>
      <c r="E189" s="6"/>
      <c r="F189" s="6"/>
      <c r="G189" s="6"/>
      <c r="H189" s="6"/>
      <c r="I189" s="6"/>
      <c r="J189" s="6"/>
      <c r="K189" s="6"/>
      <c r="L189" s="6"/>
      <c r="M189" s="5" t="str">
        <f aca="false">IF(AND(K189="",L189=""),"",SUM(K189:L189))</f>
        <v/>
      </c>
      <c r="N189" s="6"/>
      <c r="O189" s="6"/>
      <c r="P189" s="10" t="str">
        <f aca="false">IF(OR(M189="",M189=0),"",IF(N189="",0,N189)/M189)</f>
        <v/>
      </c>
      <c r="Q189" s="7"/>
      <c r="R189" s="11" t="n">
        <f aca="false">A189+5</f>
        <v>46207</v>
      </c>
      <c r="S189" s="5" t="n">
        <f aca="false">IF(R189&gt;=DATE(YEAR(R189)+1,1,4)-WEEKDAY(DATE(YEAR(R189)+1,1,4))+1,YEAR(R189)+1,IF(R189&lt;DATE(YEAR(R189),1,4)-WEEKDAY(DATE(YEAR(R189),1,4))+1,YEAR(R189)-1,YEAR(R189)))</f>
        <v>2026</v>
      </c>
      <c r="T189" s="5" t="n">
        <f aca="false">INT((R189-(DATE(S189,1,4)-WEEKDAY(DATE(S189,1,4))+1))/7)+1</f>
        <v>26</v>
      </c>
      <c r="U189" s="5" t="str">
        <f aca="false">IF(T189&gt;=36,S189&amp;"-"&amp;RIGHT(S189+1,2),(S189-1)&amp;"-"&amp;RIGHT(S189,2))</f>
        <v>2025-26</v>
      </c>
    </row>
    <row r="190" customFormat="false" ht="15" hidden="false" customHeight="false" outlineLevel="0" collapsed="false">
      <c r="A190" s="8" t="n">
        <v>46209</v>
      </c>
      <c r="B190" s="6" t="n">
        <v>1</v>
      </c>
      <c r="C190" s="6" t="n">
        <v>0</v>
      </c>
      <c r="D190" s="6" t="n">
        <v>0</v>
      </c>
      <c r="E190" s="6"/>
      <c r="F190" s="6"/>
      <c r="G190" s="6"/>
      <c r="H190" s="6"/>
      <c r="I190" s="6"/>
      <c r="J190" s="6"/>
      <c r="K190" s="6"/>
      <c r="L190" s="6"/>
      <c r="M190" s="5" t="str">
        <f aca="false">IF(AND(K190="",L190=""),"",SUM(K190:L190))</f>
        <v/>
      </c>
      <c r="N190" s="6"/>
      <c r="O190" s="6"/>
      <c r="P190" s="10" t="str">
        <f aca="false">IF(OR(M190="",M190=0),"",IF(N190="",0,N190)/M190)</f>
        <v/>
      </c>
      <c r="Q190" s="7"/>
      <c r="R190" s="11" t="n">
        <f aca="false">A190+5</f>
        <v>46214</v>
      </c>
      <c r="S190" s="5" t="n">
        <f aca="false">IF(R190&gt;=DATE(YEAR(R190)+1,1,4)-WEEKDAY(DATE(YEAR(R190)+1,1,4))+1,YEAR(R190)+1,IF(R190&lt;DATE(YEAR(R190),1,4)-WEEKDAY(DATE(YEAR(R190),1,4))+1,YEAR(R190)-1,YEAR(R190)))</f>
        <v>2026</v>
      </c>
      <c r="T190" s="5" t="n">
        <f aca="false">INT((R190-(DATE(S190,1,4)-WEEKDAY(DATE(S190,1,4))+1))/7)+1</f>
        <v>27</v>
      </c>
      <c r="U190" s="5" t="str">
        <f aca="false">IF(T190&gt;=36,S190&amp;"-"&amp;RIGHT(S190+1,2),(S190-1)&amp;"-"&amp;RIGHT(S190,2))</f>
        <v>2025-26</v>
      </c>
    </row>
    <row r="191" customFormat="false" ht="15" hidden="false" customHeight="false" outlineLevel="0" collapsed="false">
      <c r="A191" s="8" t="n">
        <v>46216</v>
      </c>
      <c r="B191" s="6" t="n">
        <v>0</v>
      </c>
      <c r="C191" s="6" t="n">
        <v>0</v>
      </c>
      <c r="D191" s="6" t="n">
        <v>0</v>
      </c>
      <c r="E191" s="6"/>
      <c r="F191" s="6"/>
      <c r="G191" s="6"/>
      <c r="H191" s="6"/>
      <c r="I191" s="6"/>
      <c r="J191" s="6"/>
      <c r="K191" s="6"/>
      <c r="L191" s="6"/>
      <c r="M191" s="5" t="str">
        <f aca="false">IF(AND(K191="",L191=""),"",SUM(K191:L191))</f>
        <v/>
      </c>
      <c r="N191" s="6"/>
      <c r="O191" s="6"/>
      <c r="P191" s="10" t="str">
        <f aca="false">IF(OR(M191="",M191=0),"",IF(N191="",0,N191)/M191)</f>
        <v/>
      </c>
      <c r="Q191" s="7"/>
      <c r="R191" s="11" t="n">
        <f aca="false">A191+5</f>
        <v>46221</v>
      </c>
      <c r="S191" s="5" t="n">
        <f aca="false">IF(R191&gt;=DATE(YEAR(R191)+1,1,4)-WEEKDAY(DATE(YEAR(R191)+1,1,4))+1,YEAR(R191)+1,IF(R191&lt;DATE(YEAR(R191),1,4)-WEEKDAY(DATE(YEAR(R191),1,4))+1,YEAR(R191)-1,YEAR(R191)))</f>
        <v>2026</v>
      </c>
      <c r="T191" s="5" t="n">
        <f aca="false">INT((R191-(DATE(S191,1,4)-WEEKDAY(DATE(S191,1,4))+1))/7)+1</f>
        <v>28</v>
      </c>
      <c r="U191" s="5" t="str">
        <f aca="false">IF(T191&gt;=36,S191&amp;"-"&amp;RIGHT(S191+1,2),(S191-1)&amp;"-"&amp;RIGHT(S191,2))</f>
        <v>2025-26</v>
      </c>
    </row>
    <row r="192" customFormat="false" ht="15" hidden="false" customHeight="false" outlineLevel="0" collapsed="false">
      <c r="A192" s="8" t="n">
        <v>46223</v>
      </c>
      <c r="B192" s="6" t="n">
        <v>1</v>
      </c>
      <c r="C192" s="6" t="n">
        <v>0</v>
      </c>
      <c r="D192" s="6" t="n">
        <v>0</v>
      </c>
      <c r="E192" s="6"/>
      <c r="F192" s="6"/>
      <c r="G192" s="6"/>
      <c r="H192" s="6"/>
      <c r="I192" s="6"/>
      <c r="J192" s="6"/>
      <c r="K192" s="6"/>
      <c r="L192" s="6"/>
      <c r="M192" s="5" t="str">
        <f aca="false">IF(AND(K192="",L192=""),"",SUM(K192:L192))</f>
        <v/>
      </c>
      <c r="N192" s="6"/>
      <c r="O192" s="6"/>
      <c r="P192" s="10" t="str">
        <f aca="false">IF(OR(M192="",M192=0),"",IF(N192="",0,N192)/M192)</f>
        <v/>
      </c>
      <c r="Q192" s="7"/>
      <c r="R192" s="11" t="n">
        <f aca="false">A192+5</f>
        <v>46228</v>
      </c>
      <c r="S192" s="5" t="n">
        <f aca="false">IF(R192&gt;=DATE(YEAR(R192)+1,1,4)-WEEKDAY(DATE(YEAR(R192)+1,1,4))+1,YEAR(R192)+1,IF(R192&lt;DATE(YEAR(R192),1,4)-WEEKDAY(DATE(YEAR(R192),1,4))+1,YEAR(R192)-1,YEAR(R192)))</f>
        <v>2026</v>
      </c>
      <c r="T192" s="5" t="n">
        <f aca="false">INT((R192-(DATE(S192,1,4)-WEEKDAY(DATE(S192,1,4))+1))/7)+1</f>
        <v>29</v>
      </c>
      <c r="U192" s="5" t="str">
        <f aca="false">IF(T192&gt;=36,S192&amp;"-"&amp;RIGHT(S192+1,2),(S192-1)&amp;"-"&amp;RIGHT(S192,2))</f>
        <v>2025-26</v>
      </c>
    </row>
    <row r="193" customFormat="false" ht="15" hidden="false" customHeight="false" outlineLevel="0" collapsed="false">
      <c r="A193" s="8" t="n">
        <v>46230</v>
      </c>
      <c r="B193" s="6" t="n">
        <v>1</v>
      </c>
      <c r="C193" s="6" t="n">
        <v>0</v>
      </c>
      <c r="D193" s="6" t="n">
        <v>0</v>
      </c>
      <c r="E193" s="6"/>
      <c r="F193" s="6"/>
      <c r="G193" s="6"/>
      <c r="H193" s="6"/>
      <c r="I193" s="6"/>
      <c r="J193" s="6"/>
      <c r="K193" s="6"/>
      <c r="L193" s="6"/>
      <c r="M193" s="5" t="str">
        <f aca="false">IF(AND(K193="",L193=""),"",SUM(K193:L193))</f>
        <v/>
      </c>
      <c r="N193" s="6"/>
      <c r="O193" s="6"/>
      <c r="P193" s="10" t="str">
        <f aca="false">IF(OR(M193="",M193=0),"",IF(N193="",0,N193)/M193)</f>
        <v/>
      </c>
      <c r="Q193" s="7"/>
      <c r="R193" s="11" t="n">
        <f aca="false">A193+5</f>
        <v>46235</v>
      </c>
      <c r="S193" s="5" t="n">
        <f aca="false">IF(R193&gt;=DATE(YEAR(R193)+1,1,4)-WEEKDAY(DATE(YEAR(R193)+1,1,4))+1,YEAR(R193)+1,IF(R193&lt;DATE(YEAR(R193),1,4)-WEEKDAY(DATE(YEAR(R193),1,4))+1,YEAR(R193)-1,YEAR(R193)))</f>
        <v>2026</v>
      </c>
      <c r="T193" s="5" t="n">
        <f aca="false">INT((R193-(DATE(S193,1,4)-WEEKDAY(DATE(S193,1,4))+1))/7)+1</f>
        <v>30</v>
      </c>
      <c r="U193" s="5" t="str">
        <f aca="false">IF(T193&gt;=36,S193&amp;"-"&amp;RIGHT(S193+1,2),(S193-1)&amp;"-"&amp;RIGHT(S193,2))</f>
        <v>2025-26</v>
      </c>
    </row>
    <row r="194" customFormat="false" ht="15" hidden="false" customHeight="false" outlineLevel="0" collapsed="false">
      <c r="A194" s="8" t="n">
        <v>46237</v>
      </c>
      <c r="B194" s="6" t="n">
        <v>0</v>
      </c>
      <c r="C194" s="6" t="n">
        <v>0</v>
      </c>
      <c r="D194" s="6" t="n">
        <v>0</v>
      </c>
      <c r="E194" s="6"/>
      <c r="F194" s="6"/>
      <c r="G194" s="6"/>
      <c r="H194" s="6"/>
      <c r="I194" s="6"/>
      <c r="J194" s="6"/>
      <c r="K194" s="6"/>
      <c r="L194" s="6"/>
      <c r="M194" s="5" t="str">
        <f aca="false">IF(AND(K194="",L194=""),"",SUM(K194:L194))</f>
        <v/>
      </c>
      <c r="N194" s="6"/>
      <c r="O194" s="6"/>
      <c r="P194" s="10" t="str">
        <f aca="false">IF(OR(M194="",M194=0),"",IF(N194="",0,N194)/M194)</f>
        <v/>
      </c>
      <c r="Q194" s="7"/>
      <c r="R194" s="11" t="n">
        <f aca="false">A194+5</f>
        <v>46242</v>
      </c>
      <c r="S194" s="5" t="n">
        <f aca="false">IF(R194&gt;=DATE(YEAR(R194)+1,1,4)-WEEKDAY(DATE(YEAR(R194)+1,1,4))+1,YEAR(R194)+1,IF(R194&lt;DATE(YEAR(R194),1,4)-WEEKDAY(DATE(YEAR(R194),1,4))+1,YEAR(R194)-1,YEAR(R194)))</f>
        <v>2026</v>
      </c>
      <c r="T194" s="5" t="n">
        <f aca="false">INT((R194-(DATE(S194,1,4)-WEEKDAY(DATE(S194,1,4))+1))/7)+1</f>
        <v>31</v>
      </c>
      <c r="U194" s="5" t="str">
        <f aca="false">IF(T194&gt;=36,S194&amp;"-"&amp;RIGHT(S194+1,2),(S194-1)&amp;"-"&amp;RIGHT(S194,2))</f>
        <v>2025-26</v>
      </c>
    </row>
    <row r="195" customFormat="false" ht="15" hidden="false" customHeight="false" outlineLevel="0" collapsed="false">
      <c r="A195" s="8" t="n">
        <v>46244</v>
      </c>
      <c r="B195" s="6" t="n">
        <v>0</v>
      </c>
      <c r="C195" s="6" t="n">
        <v>0</v>
      </c>
      <c r="D195" s="6" t="n">
        <v>0</v>
      </c>
      <c r="E195" s="6"/>
      <c r="F195" s="6"/>
      <c r="G195" s="6"/>
      <c r="H195" s="6"/>
      <c r="I195" s="6"/>
      <c r="J195" s="6"/>
      <c r="K195" s="6"/>
      <c r="L195" s="6"/>
      <c r="M195" s="5" t="str">
        <f aca="false">IF(AND(K195="",L195=""),"",SUM(K195:L195))</f>
        <v/>
      </c>
      <c r="N195" s="6"/>
      <c r="O195" s="6"/>
      <c r="P195" s="10" t="str">
        <f aca="false">IF(OR(M195="",M195=0),"",IF(N195="",0,N195)/M195)</f>
        <v/>
      </c>
      <c r="Q195" s="7"/>
      <c r="R195" s="11" t="n">
        <f aca="false">A195+5</f>
        <v>46249</v>
      </c>
      <c r="S195" s="5" t="n">
        <f aca="false">IF(R195&gt;=DATE(YEAR(R195)+1,1,4)-WEEKDAY(DATE(YEAR(R195)+1,1,4))+1,YEAR(R195)+1,IF(R195&lt;DATE(YEAR(R195),1,4)-WEEKDAY(DATE(YEAR(R195),1,4))+1,YEAR(R195)-1,YEAR(R195)))</f>
        <v>2026</v>
      </c>
      <c r="T195" s="5" t="n">
        <f aca="false">INT((R195-(DATE(S195,1,4)-WEEKDAY(DATE(S195,1,4))+1))/7)+1</f>
        <v>32</v>
      </c>
      <c r="U195" s="5" t="str">
        <f aca="false">IF(T195&gt;=36,S195&amp;"-"&amp;RIGHT(S195+1,2),(S195-1)&amp;"-"&amp;RIGHT(S195,2))</f>
        <v>2025-26</v>
      </c>
    </row>
    <row r="196" customFormat="false" ht="15" hidden="false" customHeight="false" outlineLevel="0" collapsed="false">
      <c r="A196" s="8" t="n">
        <v>46251</v>
      </c>
      <c r="B196" s="6" t="n">
        <v>0</v>
      </c>
      <c r="C196" s="6" t="n">
        <v>0</v>
      </c>
      <c r="D196" s="6" t="n">
        <v>0</v>
      </c>
      <c r="E196" s="6"/>
      <c r="F196" s="6"/>
      <c r="G196" s="6"/>
      <c r="H196" s="6"/>
      <c r="I196" s="6"/>
      <c r="J196" s="6"/>
      <c r="K196" s="6"/>
      <c r="L196" s="6"/>
      <c r="M196" s="5" t="str">
        <f aca="false">IF(AND(K196="",L196=""),"",SUM(K196:L196))</f>
        <v/>
      </c>
      <c r="N196" s="6"/>
      <c r="O196" s="6"/>
      <c r="P196" s="10" t="str">
        <f aca="false">IF(OR(M196="",M196=0),"",IF(N196="",0,N196)/M196)</f>
        <v/>
      </c>
      <c r="Q196" s="7"/>
      <c r="R196" s="11" t="n">
        <f aca="false">A196+5</f>
        <v>46256</v>
      </c>
      <c r="S196" s="5" t="n">
        <f aca="false">IF(R196&gt;=DATE(YEAR(R196)+1,1,4)-WEEKDAY(DATE(YEAR(R196)+1,1,4))+1,YEAR(R196)+1,IF(R196&lt;DATE(YEAR(R196),1,4)-WEEKDAY(DATE(YEAR(R196),1,4))+1,YEAR(R196)-1,YEAR(R196)))</f>
        <v>2026</v>
      </c>
      <c r="T196" s="5" t="n">
        <f aca="false">INT((R196-(DATE(S196,1,4)-WEEKDAY(DATE(S196,1,4))+1))/7)+1</f>
        <v>33</v>
      </c>
      <c r="U196" s="5" t="str">
        <f aca="false">IF(T196&gt;=36,S196&amp;"-"&amp;RIGHT(S196+1,2),(S196-1)&amp;"-"&amp;RIGHT(S196,2))</f>
        <v>2025-26</v>
      </c>
    </row>
    <row r="197" customFormat="false" ht="15" hidden="false" customHeight="false" outlineLevel="0" collapsed="false">
      <c r="A197" s="8" t="n">
        <v>46258</v>
      </c>
      <c r="B197" s="6" t="n">
        <v>0</v>
      </c>
      <c r="C197" s="6" t="n">
        <v>1</v>
      </c>
      <c r="D197" s="6" t="n">
        <v>0</v>
      </c>
      <c r="E197" s="6"/>
      <c r="F197" s="6"/>
      <c r="G197" s="6"/>
      <c r="H197" s="6"/>
      <c r="I197" s="6"/>
      <c r="J197" s="6"/>
      <c r="K197" s="6"/>
      <c r="L197" s="6"/>
      <c r="M197" s="5" t="str">
        <f aca="false">IF(AND(K197="",L197=""),"",SUM(K197:L197))</f>
        <v/>
      </c>
      <c r="N197" s="6"/>
      <c r="O197" s="6"/>
      <c r="P197" s="10" t="str">
        <f aca="false">IF(OR(M197="",M197=0),"",IF(N197="",0,N197)/M197)</f>
        <v/>
      </c>
      <c r="Q197" s="7"/>
      <c r="R197" s="11" t="n">
        <f aca="false">A197+5</f>
        <v>46263</v>
      </c>
      <c r="S197" s="5" t="n">
        <f aca="false">IF(R197&gt;=DATE(YEAR(R197)+1,1,4)-WEEKDAY(DATE(YEAR(R197)+1,1,4))+1,YEAR(R197)+1,IF(R197&lt;DATE(YEAR(R197),1,4)-WEEKDAY(DATE(YEAR(R197),1,4))+1,YEAR(R197)-1,YEAR(R197)))</f>
        <v>2026</v>
      </c>
      <c r="T197" s="5" t="n">
        <f aca="false">INT((R197-(DATE(S197,1,4)-WEEKDAY(DATE(S197,1,4))+1))/7)+1</f>
        <v>34</v>
      </c>
      <c r="U197" s="5" t="str">
        <f aca="false">IF(T197&gt;=36,S197&amp;"-"&amp;RIGHT(S197+1,2),(S197-1)&amp;"-"&amp;RIGHT(S197,2))</f>
        <v>2025-26</v>
      </c>
    </row>
    <row r="198" customFormat="false" ht="15" hidden="false" customHeight="false" outlineLevel="0" collapsed="false">
      <c r="A198" s="8" t="n">
        <v>46265</v>
      </c>
      <c r="B198" s="6" t="n">
        <v>0</v>
      </c>
      <c r="C198" s="6" t="n">
        <v>0</v>
      </c>
      <c r="D198" s="6" t="n">
        <v>0</v>
      </c>
      <c r="E198" s="6"/>
      <c r="F198" s="6"/>
      <c r="G198" s="6"/>
      <c r="H198" s="6"/>
      <c r="I198" s="6"/>
      <c r="J198" s="6"/>
      <c r="K198" s="6"/>
      <c r="L198" s="6"/>
      <c r="M198" s="5" t="str">
        <f aca="false">IF(AND(K198="",L198=""),"",SUM(K198:L198))</f>
        <v/>
      </c>
      <c r="N198" s="6"/>
      <c r="O198" s="6"/>
      <c r="P198" s="10" t="str">
        <f aca="false">IF(OR(M198="",M198=0),"",IF(N198="",0,N198)/M198)</f>
        <v/>
      </c>
      <c r="Q198" s="7"/>
      <c r="R198" s="11" t="n">
        <f aca="false">A198+5</f>
        <v>46270</v>
      </c>
      <c r="S198" s="5" t="n">
        <f aca="false">IF(R198&gt;=DATE(YEAR(R198)+1,1,4)-WEEKDAY(DATE(YEAR(R198)+1,1,4))+1,YEAR(R198)+1,IF(R198&lt;DATE(YEAR(R198),1,4)-WEEKDAY(DATE(YEAR(R198),1,4))+1,YEAR(R198)-1,YEAR(R198)))</f>
        <v>2026</v>
      </c>
      <c r="T198" s="5" t="n">
        <f aca="false">INT((R198-(DATE(S198,1,4)-WEEKDAY(DATE(S198,1,4))+1))/7)+1</f>
        <v>35</v>
      </c>
      <c r="U198" s="5" t="str">
        <f aca="false">IF(T198&gt;=36,S198&amp;"-"&amp;RIGHT(S198+1,2),(S198-1)&amp;"-"&amp;RIGHT(S198,2))</f>
        <v>2025-26</v>
      </c>
    </row>
    <row r="199" customFormat="false" ht="15" hidden="false" customHeight="false" outlineLevel="0" collapsed="false">
      <c r="A199" s="8" t="n">
        <v>46272</v>
      </c>
      <c r="B199" s="6" t="n">
        <v>4</v>
      </c>
      <c r="C199" s="6" t="n">
        <v>0</v>
      </c>
      <c r="D199" s="6" t="n">
        <v>0</v>
      </c>
      <c r="E199" s="6"/>
      <c r="F199" s="6"/>
      <c r="G199" s="6"/>
      <c r="H199" s="6"/>
      <c r="I199" s="6"/>
      <c r="J199" s="6"/>
      <c r="K199" s="6"/>
      <c r="L199" s="6"/>
      <c r="M199" s="5" t="str">
        <f aca="false">IF(AND(K199="",L199=""),"",SUM(K199:L199))</f>
        <v/>
      </c>
      <c r="N199" s="6"/>
      <c r="O199" s="6"/>
      <c r="P199" s="10" t="str">
        <f aca="false">IF(OR(M199="",M199=0),"",IF(N199="",0,N199)/M199)</f>
        <v/>
      </c>
      <c r="Q199" s="7" t="s">
        <v>61</v>
      </c>
      <c r="R199" s="11" t="n">
        <f aca="false">A199+5</f>
        <v>46277</v>
      </c>
      <c r="S199" s="5" t="n">
        <f aca="false">IF(R199&gt;=DATE(YEAR(R199)+1,1,4)-WEEKDAY(DATE(YEAR(R199)+1,1,4))+1,YEAR(R199)+1,IF(R199&lt;DATE(YEAR(R199),1,4)-WEEKDAY(DATE(YEAR(R199),1,4))+1,YEAR(R199)-1,YEAR(R199)))</f>
        <v>2026</v>
      </c>
      <c r="T199" s="5" t="n">
        <f aca="false">INT((R199-(DATE(S199,1,4)-WEEKDAY(DATE(S199,1,4))+1))/7)+1</f>
        <v>36</v>
      </c>
      <c r="U199" s="5" t="str">
        <f aca="false">IF(T199&gt;=36,S199&amp;"-"&amp;RIGHT(S199+1,2),(S199-1)&amp;"-"&amp;RIGHT(S199,2))</f>
        <v>2026-27</v>
      </c>
    </row>
    <row r="200" customFormat="false" ht="15" hidden="false" customHeight="false" outlineLevel="0" collapsed="false">
      <c r="A200" s="8" t="n">
        <v>46279</v>
      </c>
      <c r="B200" s="6" t="n">
        <v>5</v>
      </c>
      <c r="C200" s="6" t="n">
        <v>1</v>
      </c>
      <c r="D200" s="6" t="n">
        <v>0</v>
      </c>
      <c r="E200" s="6"/>
      <c r="F200" s="6"/>
      <c r="G200" s="6"/>
      <c r="H200" s="6"/>
      <c r="I200" s="6"/>
      <c r="J200" s="6"/>
      <c r="K200" s="6"/>
      <c r="L200" s="6"/>
      <c r="M200" s="5" t="str">
        <f aca="false">IF(AND(K200="",L200=""),"",SUM(K200:L200))</f>
        <v/>
      </c>
      <c r="N200" s="6"/>
      <c r="O200" s="6"/>
      <c r="P200" s="10" t="str">
        <f aca="false">IF(OR(M200="",M200=0),"",IF(N200="",0,N200)/M200)</f>
        <v/>
      </c>
      <c r="Q200" s="7"/>
      <c r="R200" s="11" t="n">
        <f aca="false">A200+5</f>
        <v>46284</v>
      </c>
      <c r="S200" s="5" t="n">
        <f aca="false">IF(R200&gt;=DATE(YEAR(R200)+1,1,4)-WEEKDAY(DATE(YEAR(R200)+1,1,4))+1,YEAR(R200)+1,IF(R200&lt;DATE(YEAR(R200),1,4)-WEEKDAY(DATE(YEAR(R200),1,4))+1,YEAR(R200)-1,YEAR(R200)))</f>
        <v>2026</v>
      </c>
      <c r="T200" s="5" t="n">
        <f aca="false">INT((R200-(DATE(S200,1,4)-WEEKDAY(DATE(S200,1,4))+1))/7)+1</f>
        <v>37</v>
      </c>
      <c r="U200" s="5" t="str">
        <f aca="false">IF(T200&gt;=36,S200&amp;"-"&amp;RIGHT(S200+1,2),(S200-1)&amp;"-"&amp;RIGHT(S200,2))</f>
        <v>2026-27</v>
      </c>
    </row>
    <row r="201" customFormat="false" ht="15" hidden="false" customHeight="false" outlineLevel="0" collapsed="false">
      <c r="A201" s="8" t="n">
        <v>46286</v>
      </c>
      <c r="B201" s="6" t="n">
        <v>4</v>
      </c>
      <c r="C201" s="6" t="n">
        <v>0</v>
      </c>
      <c r="D201" s="6" t="n">
        <v>0</v>
      </c>
      <c r="E201" s="6" t="n">
        <v>1</v>
      </c>
      <c r="F201" s="6" t="n">
        <v>1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5" t="n">
        <f aca="false">IF(AND(K201="",L201=""),"",SUM(K201:L201))</f>
        <v>0</v>
      </c>
      <c r="N201" s="6" t="n">
        <v>0</v>
      </c>
      <c r="O201" s="6" t="n">
        <v>0</v>
      </c>
      <c r="P201" s="10" t="n">
        <v>0</v>
      </c>
      <c r="Q201" s="7"/>
      <c r="R201" s="11" t="n">
        <f aca="false">A201+5</f>
        <v>46291</v>
      </c>
      <c r="S201" s="5" t="n">
        <f aca="false">IF(R201&gt;=DATE(YEAR(R201)+1,1,4)-WEEKDAY(DATE(YEAR(R201)+1,1,4))+1,YEAR(R201)+1,IF(R201&lt;DATE(YEAR(R201),1,4)-WEEKDAY(DATE(YEAR(R201),1,4))+1,YEAR(R201)-1,YEAR(R201)))</f>
        <v>2026</v>
      </c>
      <c r="T201" s="5" t="n">
        <f aca="false">INT((R201-(DATE(S201,1,4)-WEEKDAY(DATE(S201,1,4))+1))/7)+1</f>
        <v>38</v>
      </c>
      <c r="U201" s="5" t="str">
        <f aca="false">IF(T201&gt;=36,S201&amp;"-"&amp;RIGHT(S201+1,2),(S201-1)&amp;"-"&amp;RIGHT(S201,2))</f>
        <v>2026-27</v>
      </c>
    </row>
    <row r="202" customFormat="false" ht="15" hidden="false" customHeight="false" outlineLevel="0" collapsed="false">
      <c r="A202" s="8" t="n">
        <v>46293</v>
      </c>
      <c r="B202" s="6" t="n">
        <v>4</v>
      </c>
      <c r="C202" s="6" t="n">
        <v>0</v>
      </c>
      <c r="D202" s="6" t="n">
        <v>1</v>
      </c>
      <c r="E202" s="6" t="n">
        <v>0</v>
      </c>
      <c r="F202" s="6" t="n">
        <v>0</v>
      </c>
      <c r="G202" s="6" t="n">
        <v>0</v>
      </c>
      <c r="H202" s="6" t="n">
        <v>0</v>
      </c>
      <c r="I202" s="6" t="n">
        <v>1</v>
      </c>
      <c r="J202" s="6" t="n">
        <v>1</v>
      </c>
      <c r="K202" s="6" t="n">
        <v>0</v>
      </c>
      <c r="L202" s="6" t="n">
        <v>0</v>
      </c>
      <c r="M202" s="5" t="n">
        <f aca="false">IF(AND(K202="",L202=""),"",SUM(K202:L202))</f>
        <v>0</v>
      </c>
      <c r="N202" s="6" t="n">
        <v>0</v>
      </c>
      <c r="O202" s="6" t="n">
        <v>0</v>
      </c>
      <c r="P202" s="10" t="n">
        <v>0</v>
      </c>
      <c r="Q202" s="7"/>
      <c r="R202" s="11" t="n">
        <f aca="false">A202+5</f>
        <v>46298</v>
      </c>
      <c r="S202" s="5" t="n">
        <f aca="false">IF(R202&gt;=DATE(YEAR(R202)+1,1,4)-WEEKDAY(DATE(YEAR(R202)+1,1,4))+1,YEAR(R202)+1,IF(R202&lt;DATE(YEAR(R202),1,4)-WEEKDAY(DATE(YEAR(R202),1,4))+1,YEAR(R202)-1,YEAR(R202)))</f>
        <v>2026</v>
      </c>
      <c r="T202" s="5" t="n">
        <f aca="false">INT((R202-(DATE(S202,1,4)-WEEKDAY(DATE(S202,1,4))+1))/7)+1</f>
        <v>39</v>
      </c>
      <c r="U202" s="5" t="str">
        <f aca="false">IF(T202&gt;=36,S202&amp;"-"&amp;RIGHT(S202+1,2),(S202-1)&amp;"-"&amp;RIGHT(S202,2))</f>
        <v>2026-27</v>
      </c>
    </row>
    <row r="203" customFormat="false" ht="15" hidden="false" customHeight="false" outlineLevel="0" collapsed="false">
      <c r="A203" s="8" t="n">
        <v>46300</v>
      </c>
      <c r="B203" s="6" t="n">
        <v>1</v>
      </c>
      <c r="C203" s="6" t="n">
        <v>0</v>
      </c>
      <c r="D203" s="6" t="n">
        <v>0</v>
      </c>
      <c r="E203" s="6" t="n">
        <v>0</v>
      </c>
      <c r="F203" s="6" t="n">
        <v>0</v>
      </c>
      <c r="G203" s="6" t="n">
        <v>2</v>
      </c>
      <c r="H203" s="6" t="n">
        <v>0</v>
      </c>
      <c r="I203" s="6" t="n">
        <v>0</v>
      </c>
      <c r="J203" s="6" t="n">
        <v>0</v>
      </c>
      <c r="K203" s="6"/>
      <c r="L203" s="6"/>
      <c r="M203" s="5" t="str">
        <f aca="false">IF(AND(K203="",L203=""),"",SUM(K203:L203))</f>
        <v/>
      </c>
      <c r="N203" s="6" t="n">
        <v>0</v>
      </c>
      <c r="O203" s="6" t="n">
        <v>2</v>
      </c>
      <c r="P203" s="10" t="n">
        <v>0</v>
      </c>
      <c r="Q203" s="7"/>
      <c r="R203" s="11" t="n">
        <f aca="false">A203+5</f>
        <v>46305</v>
      </c>
      <c r="S203" s="5" t="n">
        <f aca="false">IF(R203&gt;=DATE(YEAR(R203)+1,1,4)-WEEKDAY(DATE(YEAR(R203)+1,1,4))+1,YEAR(R203)+1,IF(R203&lt;DATE(YEAR(R203),1,4)-WEEKDAY(DATE(YEAR(R203),1,4))+1,YEAR(R203)-1,YEAR(R203)))</f>
        <v>2026</v>
      </c>
      <c r="T203" s="5" t="n">
        <f aca="false">INT((R203-(DATE(S203,1,4)-WEEKDAY(DATE(S203,1,4))+1))/7)+1</f>
        <v>40</v>
      </c>
      <c r="U203" s="5" t="str">
        <f aca="false">IF(T203&gt;=36,S203&amp;"-"&amp;RIGHT(S203+1,2),(S203-1)&amp;"-"&amp;RIGHT(S203,2))</f>
        <v>2026-27</v>
      </c>
    </row>
    <row r="204" customFormat="false" ht="15" hidden="false" customHeight="false" outlineLevel="0" collapsed="false">
      <c r="A204" s="8" t="n">
        <v>46307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5" t="str">
        <f aca="false">IF(AND(K204="",L204=""),"",SUM(K204:L204))</f>
        <v/>
      </c>
      <c r="N204" s="6"/>
      <c r="O204" s="6"/>
      <c r="P204" s="10" t="str">
        <f aca="false">IF(OR(M204="",M204=0),"",IF(N204="",0,N204)/M204)</f>
        <v/>
      </c>
      <c r="Q204" s="7"/>
      <c r="R204" s="11" t="n">
        <f aca="false">A204+5</f>
        <v>46312</v>
      </c>
      <c r="S204" s="5" t="n">
        <f aca="false">IF(R204&gt;=DATE(YEAR(R204)+1,1,4)-WEEKDAY(DATE(YEAR(R204)+1,1,4))+1,YEAR(R204)+1,IF(R204&lt;DATE(YEAR(R204),1,4)-WEEKDAY(DATE(YEAR(R204),1,4))+1,YEAR(R204)-1,YEAR(R204)))</f>
        <v>2026</v>
      </c>
      <c r="T204" s="5" t="n">
        <f aca="false">INT((R204-(DATE(S204,1,4)-WEEKDAY(DATE(S204,1,4))+1))/7)+1</f>
        <v>41</v>
      </c>
      <c r="U204" s="5" t="str">
        <f aca="false">IF(T204&gt;=36,S204&amp;"-"&amp;RIGHT(S204+1,2),(S204-1)&amp;"-"&amp;RIGHT(S204,2))</f>
        <v>2026-27</v>
      </c>
    </row>
    <row r="205" customFormat="false" ht="15" hidden="false" customHeight="false" outlineLevel="0" collapsed="false">
      <c r="A205" s="8" t="n">
        <v>46314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5" t="str">
        <f aca="false">IF(AND(K205="",L205=""),"",SUM(K205:L205))</f>
        <v/>
      </c>
      <c r="N205" s="6"/>
      <c r="O205" s="6"/>
      <c r="P205" s="10" t="str">
        <f aca="false">IF(OR(M205="",M205=0),"",IF(N205="",0,N205)/M205)</f>
        <v/>
      </c>
      <c r="Q205" s="7"/>
      <c r="R205" s="11" t="n">
        <f aca="false">A205+5</f>
        <v>46319</v>
      </c>
      <c r="S205" s="5" t="n">
        <f aca="false">IF(R205&gt;=DATE(YEAR(R205)+1,1,4)-WEEKDAY(DATE(YEAR(R205)+1,1,4))+1,YEAR(R205)+1,IF(R205&lt;DATE(YEAR(R205),1,4)-WEEKDAY(DATE(YEAR(R205),1,4))+1,YEAR(R205)-1,YEAR(R205)))</f>
        <v>2026</v>
      </c>
      <c r="T205" s="5" t="n">
        <f aca="false">INT((R205-(DATE(S205,1,4)-WEEKDAY(DATE(S205,1,4))+1))/7)+1</f>
        <v>42</v>
      </c>
      <c r="U205" s="5" t="str">
        <f aca="false">IF(T205&gt;=36,S205&amp;"-"&amp;RIGHT(S205+1,2),(S205-1)&amp;"-"&amp;RIGHT(S205,2))</f>
        <v>2026-27</v>
      </c>
    </row>
    <row r="206" customFormat="false" ht="15" hidden="false" customHeight="false" outlineLevel="0" collapsed="false">
      <c r="A206" s="8" t="n">
        <v>46321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5" t="str">
        <f aca="false">IF(AND(K206="",L206=""),"",SUM(K206:L206))</f>
        <v/>
      </c>
      <c r="N206" s="6"/>
      <c r="O206" s="6"/>
      <c r="P206" s="10" t="str">
        <f aca="false">IF(OR(M206="",M206=0),"",IF(N206="",0,N206)/M206)</f>
        <v/>
      </c>
      <c r="Q206" s="7"/>
      <c r="R206" s="11" t="n">
        <f aca="false">A206+5</f>
        <v>46326</v>
      </c>
      <c r="S206" s="5" t="n">
        <f aca="false">IF(R206&gt;=DATE(YEAR(R206)+1,1,4)-WEEKDAY(DATE(YEAR(R206)+1,1,4))+1,YEAR(R206)+1,IF(R206&lt;DATE(YEAR(R206),1,4)-WEEKDAY(DATE(YEAR(R206),1,4))+1,YEAR(R206)-1,YEAR(R206)))</f>
        <v>2026</v>
      </c>
      <c r="T206" s="5" t="n">
        <f aca="false">INT((R206-(DATE(S206,1,4)-WEEKDAY(DATE(S206,1,4))+1))/7)+1</f>
        <v>43</v>
      </c>
      <c r="U206" s="5" t="str">
        <f aca="false">IF(T206&gt;=36,S206&amp;"-"&amp;RIGHT(S206+1,2),(S206-1)&amp;"-"&amp;RIGHT(S206,2))</f>
        <v>2026-27</v>
      </c>
    </row>
    <row r="207" customFormat="false" ht="15" hidden="false" customHeight="false" outlineLevel="0" collapsed="false">
      <c r="A207" s="8" t="n">
        <v>46328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5" t="str">
        <f aca="false">IF(AND(K207="",L207=""),"",SUM(K207:L207))</f>
        <v/>
      </c>
      <c r="N207" s="6"/>
      <c r="O207" s="6"/>
      <c r="P207" s="10" t="str">
        <f aca="false">IF(OR(M207="",M207=0),"",IF(N207="",0,N207)/M207)</f>
        <v/>
      </c>
      <c r="Q207" s="7"/>
      <c r="R207" s="11" t="n">
        <f aca="false">A207+5</f>
        <v>46333</v>
      </c>
      <c r="S207" s="5" t="n">
        <f aca="false">IF(R207&gt;=DATE(YEAR(R207)+1,1,4)-WEEKDAY(DATE(YEAR(R207)+1,1,4))+1,YEAR(R207)+1,IF(R207&lt;DATE(YEAR(R207),1,4)-WEEKDAY(DATE(YEAR(R207),1,4))+1,YEAR(R207)-1,YEAR(R207)))</f>
        <v>2026</v>
      </c>
      <c r="T207" s="5" t="n">
        <f aca="false">INT((R207-(DATE(S207,1,4)-WEEKDAY(DATE(S207,1,4))+1))/7)+1</f>
        <v>44</v>
      </c>
      <c r="U207" s="5" t="str">
        <f aca="false">IF(T207&gt;=36,S207&amp;"-"&amp;RIGHT(S207+1,2),(S207-1)&amp;"-"&amp;RIGHT(S207,2))</f>
        <v>2026-27</v>
      </c>
    </row>
    <row r="208" customFormat="false" ht="15" hidden="false" customHeight="false" outlineLevel="0" collapsed="false">
      <c r="A208" s="8" t="n">
        <v>46335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5" t="str">
        <f aca="false">IF(AND(K208="",L208=""),"",SUM(K208:L208))</f>
        <v/>
      </c>
      <c r="N208" s="6"/>
      <c r="O208" s="6"/>
      <c r="P208" s="10" t="str">
        <f aca="false">IF(OR(M208="",M208=0),"",IF(N208="",0,N208)/M208)</f>
        <v/>
      </c>
      <c r="Q208" s="7"/>
      <c r="R208" s="11" t="n">
        <f aca="false">A208+5</f>
        <v>46340</v>
      </c>
      <c r="S208" s="5" t="n">
        <f aca="false">IF(R208&gt;=DATE(YEAR(R208)+1,1,4)-WEEKDAY(DATE(YEAR(R208)+1,1,4))+1,YEAR(R208)+1,IF(R208&lt;DATE(YEAR(R208),1,4)-WEEKDAY(DATE(YEAR(R208),1,4))+1,YEAR(R208)-1,YEAR(R208)))</f>
        <v>2026</v>
      </c>
      <c r="T208" s="5" t="n">
        <f aca="false">INT((R208-(DATE(S208,1,4)-WEEKDAY(DATE(S208,1,4))+1))/7)+1</f>
        <v>45</v>
      </c>
      <c r="U208" s="5" t="str">
        <f aca="false">IF(T208&gt;=36,S208&amp;"-"&amp;RIGHT(S208+1,2),(S208-1)&amp;"-"&amp;RIGHT(S208,2))</f>
        <v>2026-27</v>
      </c>
    </row>
    <row r="209" customFormat="false" ht="15" hidden="false" customHeight="false" outlineLevel="0" collapsed="false">
      <c r="A209" s="8" t="n">
        <v>46342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5" t="str">
        <f aca="false">IF(AND(K209="",L209=""),"",SUM(K209:L209))</f>
        <v/>
      </c>
      <c r="N209" s="6"/>
      <c r="O209" s="6"/>
      <c r="P209" s="10" t="str">
        <f aca="false">IF(OR(M209="",M209=0),"",IF(N209="",0,N209)/M209)</f>
        <v/>
      </c>
      <c r="Q209" s="7"/>
      <c r="R209" s="11" t="n">
        <f aca="false">A209+5</f>
        <v>46347</v>
      </c>
      <c r="S209" s="5" t="n">
        <f aca="false">IF(R209&gt;=DATE(YEAR(R209)+1,1,4)-WEEKDAY(DATE(YEAR(R209)+1,1,4))+1,YEAR(R209)+1,IF(R209&lt;DATE(YEAR(R209),1,4)-WEEKDAY(DATE(YEAR(R209),1,4))+1,YEAR(R209)-1,YEAR(R209)))</f>
        <v>2026</v>
      </c>
      <c r="T209" s="5" t="n">
        <f aca="false">INT((R209-(DATE(S209,1,4)-WEEKDAY(DATE(S209,1,4))+1))/7)+1</f>
        <v>46</v>
      </c>
      <c r="U209" s="5" t="str">
        <f aca="false">IF(T209&gt;=36,S209&amp;"-"&amp;RIGHT(S209+1,2),(S209-1)&amp;"-"&amp;RIGHT(S209,2))</f>
        <v>2026-27</v>
      </c>
    </row>
    <row r="210" customFormat="false" ht="15" hidden="false" customHeight="false" outlineLevel="0" collapsed="false">
      <c r="A210" s="8" t="n">
        <v>46349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5" t="str">
        <f aca="false">IF(AND(K210="",L210=""),"",SUM(K210:L210))</f>
        <v/>
      </c>
      <c r="N210" s="6"/>
      <c r="O210" s="6"/>
      <c r="P210" s="10" t="str">
        <f aca="false">IF(OR(M210="",M210=0),"",IF(N210="",0,N210)/M210)</f>
        <v/>
      </c>
      <c r="Q210" s="7"/>
      <c r="R210" s="11" t="n">
        <f aca="false">A210+5</f>
        <v>46354</v>
      </c>
      <c r="S210" s="5" t="n">
        <f aca="false">IF(R210&gt;=DATE(YEAR(R210)+1,1,4)-WEEKDAY(DATE(YEAR(R210)+1,1,4))+1,YEAR(R210)+1,IF(R210&lt;DATE(YEAR(R210),1,4)-WEEKDAY(DATE(YEAR(R210),1,4))+1,YEAR(R210)-1,YEAR(R210)))</f>
        <v>2026</v>
      </c>
      <c r="T210" s="5" t="n">
        <f aca="false">INT((R210-(DATE(S210,1,4)-WEEKDAY(DATE(S210,1,4))+1))/7)+1</f>
        <v>47</v>
      </c>
      <c r="U210" s="5" t="str">
        <f aca="false">IF(T210&gt;=36,S210&amp;"-"&amp;RIGHT(S210+1,2),(S210-1)&amp;"-"&amp;RIGHT(S210,2))</f>
        <v>2026-27</v>
      </c>
    </row>
    <row r="211" customFormat="false" ht="15" hidden="false" customHeight="false" outlineLevel="0" collapsed="false">
      <c r="A211" s="8" t="n">
        <v>46356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5" t="str">
        <f aca="false">IF(AND(K211="",L211=""),"",SUM(K211:L211))</f>
        <v/>
      </c>
      <c r="N211" s="6"/>
      <c r="O211" s="6"/>
      <c r="P211" s="10" t="str">
        <f aca="false">IF(OR(M211="",M211=0),"",IF(N211="",0,N211)/M211)</f>
        <v/>
      </c>
      <c r="Q211" s="7"/>
      <c r="R211" s="11" t="n">
        <f aca="false">A211+5</f>
        <v>46361</v>
      </c>
      <c r="S211" s="5" t="n">
        <f aca="false">IF(R211&gt;=DATE(YEAR(R211)+1,1,4)-WEEKDAY(DATE(YEAR(R211)+1,1,4))+1,YEAR(R211)+1,IF(R211&lt;DATE(YEAR(R211),1,4)-WEEKDAY(DATE(YEAR(R211),1,4))+1,YEAR(R211)-1,YEAR(R211)))</f>
        <v>2026</v>
      </c>
      <c r="T211" s="5" t="n">
        <f aca="false">INT((R211-(DATE(S211,1,4)-WEEKDAY(DATE(S211,1,4))+1))/7)+1</f>
        <v>48</v>
      </c>
      <c r="U211" s="5" t="str">
        <f aca="false">IF(T211&gt;=36,S211&amp;"-"&amp;RIGHT(S211+1,2),(S211-1)&amp;"-"&amp;RIGHT(S211,2))</f>
        <v>2026-27</v>
      </c>
    </row>
    <row r="212" customFormat="false" ht="15" hidden="false" customHeight="false" outlineLevel="0" collapsed="false">
      <c r="A212" s="8" t="n">
        <v>46363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5" t="str">
        <f aca="false">IF(AND(K212="",L212=""),"",SUM(K212:L212))</f>
        <v/>
      </c>
      <c r="N212" s="6"/>
      <c r="O212" s="6"/>
      <c r="P212" s="10" t="str">
        <f aca="false">IF(OR(M212="",M212=0),"",IF(N212="",0,N212)/M212)</f>
        <v/>
      </c>
      <c r="Q212" s="7"/>
      <c r="R212" s="11" t="n">
        <f aca="false">A212+5</f>
        <v>46368</v>
      </c>
      <c r="S212" s="5" t="n">
        <f aca="false">IF(R212&gt;=DATE(YEAR(R212)+1,1,4)-WEEKDAY(DATE(YEAR(R212)+1,1,4))+1,YEAR(R212)+1,IF(R212&lt;DATE(YEAR(R212),1,4)-WEEKDAY(DATE(YEAR(R212),1,4))+1,YEAR(R212)-1,YEAR(R212)))</f>
        <v>2026</v>
      </c>
      <c r="T212" s="5" t="n">
        <f aca="false">INT((R212-(DATE(S212,1,4)-WEEKDAY(DATE(S212,1,4))+1))/7)+1</f>
        <v>49</v>
      </c>
      <c r="U212" s="5" t="str">
        <f aca="false">IF(T212&gt;=36,S212&amp;"-"&amp;RIGHT(S212+1,2),(S212-1)&amp;"-"&amp;RIGHT(S212,2))</f>
        <v>2026-27</v>
      </c>
    </row>
    <row r="213" customFormat="false" ht="15" hidden="false" customHeight="false" outlineLevel="0" collapsed="false">
      <c r="A213" s="8" t="n">
        <v>46370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5" t="str">
        <f aca="false">IF(AND(K213="",L213=""),"",SUM(K213:L213))</f>
        <v/>
      </c>
      <c r="N213" s="6"/>
      <c r="O213" s="6"/>
      <c r="P213" s="10" t="str">
        <f aca="false">IF(OR(M213="",M213=0),"",IF(N213="",0,N213)/M213)</f>
        <v/>
      </c>
      <c r="Q213" s="7"/>
      <c r="R213" s="11" t="n">
        <f aca="false">A213+5</f>
        <v>46375</v>
      </c>
      <c r="S213" s="5" t="n">
        <f aca="false">IF(R213&gt;=DATE(YEAR(R213)+1,1,4)-WEEKDAY(DATE(YEAR(R213)+1,1,4))+1,YEAR(R213)+1,IF(R213&lt;DATE(YEAR(R213),1,4)-WEEKDAY(DATE(YEAR(R213),1,4))+1,YEAR(R213)-1,YEAR(R213)))</f>
        <v>2026</v>
      </c>
      <c r="T213" s="5" t="n">
        <f aca="false">INT((R213-(DATE(S213,1,4)-WEEKDAY(DATE(S213,1,4))+1))/7)+1</f>
        <v>50</v>
      </c>
      <c r="U213" s="5" t="str">
        <f aca="false">IF(T213&gt;=36,S213&amp;"-"&amp;RIGHT(S213+1,2),(S213-1)&amp;"-"&amp;RIGHT(S213,2))</f>
        <v>2026-27</v>
      </c>
    </row>
    <row r="214" customFormat="false" ht="15" hidden="false" customHeight="false" outlineLevel="0" collapsed="false">
      <c r="A214" s="8" t="n">
        <v>46377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5" t="str">
        <f aca="false">IF(AND(K214="",L214=""),"",SUM(K214:L214))</f>
        <v/>
      </c>
      <c r="N214" s="6"/>
      <c r="O214" s="6"/>
      <c r="P214" s="10" t="str">
        <f aca="false">IF(OR(M214="",M214=0),"",IF(N214="",0,N214)/M214)</f>
        <v/>
      </c>
      <c r="Q214" s="7"/>
      <c r="R214" s="11" t="n">
        <f aca="false">A214+5</f>
        <v>46382</v>
      </c>
      <c r="S214" s="5" t="n">
        <f aca="false">IF(R214&gt;=DATE(YEAR(R214)+1,1,4)-WEEKDAY(DATE(YEAR(R214)+1,1,4))+1,YEAR(R214)+1,IF(R214&lt;DATE(YEAR(R214),1,4)-WEEKDAY(DATE(YEAR(R214),1,4))+1,YEAR(R214)-1,YEAR(R214)))</f>
        <v>2026</v>
      </c>
      <c r="T214" s="5" t="n">
        <f aca="false">INT((R214-(DATE(S214,1,4)-WEEKDAY(DATE(S214,1,4))+1))/7)+1</f>
        <v>51</v>
      </c>
      <c r="U214" s="5" t="str">
        <f aca="false">IF(T214&gt;=36,S214&amp;"-"&amp;RIGHT(S214+1,2),(S214-1)&amp;"-"&amp;RIGHT(S214,2))</f>
        <v>2026-27</v>
      </c>
    </row>
    <row r="215" customFormat="false" ht="15" hidden="false" customHeight="false" outlineLevel="0" collapsed="false">
      <c r="A215" s="8" t="n">
        <v>46384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5" t="str">
        <f aca="false">IF(AND(K215="",L215=""),"",SUM(K215:L215))</f>
        <v/>
      </c>
      <c r="N215" s="6"/>
      <c r="O215" s="6"/>
      <c r="P215" s="10" t="str">
        <f aca="false">IF(OR(M215="",M215=0),"",IF(N215="",0,N215)/M215)</f>
        <v/>
      </c>
      <c r="Q215" s="7"/>
      <c r="R215" s="11" t="n">
        <f aca="false">A215+5</f>
        <v>46389</v>
      </c>
      <c r="S215" s="5" t="n">
        <f aca="false">IF(R215&gt;=DATE(YEAR(R215)+1,1,4)-WEEKDAY(DATE(YEAR(R215)+1,1,4))+1,YEAR(R215)+1,IF(R215&lt;DATE(YEAR(R215),1,4)-WEEKDAY(DATE(YEAR(R215),1,4))+1,YEAR(R215)-1,YEAR(R215)))</f>
        <v>2026</v>
      </c>
      <c r="T215" s="5" t="n">
        <f aca="false">INT((R215-(DATE(S215,1,4)-WEEKDAY(DATE(S215,1,4))+1))/7)+1</f>
        <v>52</v>
      </c>
      <c r="U215" s="5" t="str">
        <f aca="false">IF(T215&gt;=36,S215&amp;"-"&amp;RIGHT(S215+1,2),(S215-1)&amp;"-"&amp;RIGHT(S215,2))</f>
        <v>2026-27</v>
      </c>
    </row>
    <row r="216" customFormat="false" ht="15" hidden="false" customHeight="false" outlineLevel="0" collapsed="false">
      <c r="A216" s="8" t="n">
        <v>46391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5" t="str">
        <f aca="false">IF(AND(K216="",L216=""),"",SUM(K216:L216))</f>
        <v/>
      </c>
      <c r="N216" s="6"/>
      <c r="O216" s="6"/>
      <c r="P216" s="10" t="str">
        <f aca="false">IF(OR(M216="",M216=0),"",IF(N216="",0,N216)/M216)</f>
        <v/>
      </c>
      <c r="Q216" s="7"/>
      <c r="R216" s="11" t="n">
        <f aca="false">A216+5</f>
        <v>46396</v>
      </c>
      <c r="S216" s="5" t="n">
        <f aca="false">IF(R216&gt;=DATE(YEAR(R216)+1,1,4)-WEEKDAY(DATE(YEAR(R216)+1,1,4))+1,YEAR(R216)+1,IF(R216&lt;DATE(YEAR(R216),1,4)-WEEKDAY(DATE(YEAR(R216),1,4))+1,YEAR(R216)-1,YEAR(R216)))</f>
        <v>2027</v>
      </c>
      <c r="T216" s="5" t="n">
        <f aca="false">INT((R216-(DATE(S216,1,4)-WEEKDAY(DATE(S216,1,4))+1))/7)+1</f>
        <v>1</v>
      </c>
      <c r="U216" s="5" t="str">
        <f aca="false">IF(T216&gt;=36,S216&amp;"-"&amp;RIGHT(S216+1,2),(S216-1)&amp;"-"&amp;RIGHT(S216,2))</f>
        <v>2026-27</v>
      </c>
    </row>
    <row r="217" customFormat="false" ht="15" hidden="false" customHeight="false" outlineLevel="0" collapsed="false">
      <c r="A217" s="8" t="n">
        <v>46398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5" t="str">
        <f aca="false">IF(AND(K217="",L217=""),"",SUM(K217:L217))</f>
        <v/>
      </c>
      <c r="N217" s="6"/>
      <c r="O217" s="6"/>
      <c r="P217" s="10" t="str">
        <f aca="false">IF(OR(M217="",M217=0),"",IF(N217="",0,N217)/M217)</f>
        <v/>
      </c>
      <c r="Q217" s="7"/>
      <c r="R217" s="11" t="n">
        <f aca="false">A217+5</f>
        <v>46403</v>
      </c>
      <c r="S217" s="5" t="n">
        <f aca="false">IF(R217&gt;=DATE(YEAR(R217)+1,1,4)-WEEKDAY(DATE(YEAR(R217)+1,1,4))+1,YEAR(R217)+1,IF(R217&lt;DATE(YEAR(R217),1,4)-WEEKDAY(DATE(YEAR(R217),1,4))+1,YEAR(R217)-1,YEAR(R217)))</f>
        <v>2027</v>
      </c>
      <c r="T217" s="5" t="n">
        <f aca="false">INT((R217-(DATE(S217,1,4)-WEEKDAY(DATE(S217,1,4))+1))/7)+1</f>
        <v>2</v>
      </c>
      <c r="U217" s="5" t="str">
        <f aca="false">IF(T217&gt;=36,S217&amp;"-"&amp;RIGHT(S217+1,2),(S217-1)&amp;"-"&amp;RIGHT(S217,2))</f>
        <v>2026-27</v>
      </c>
    </row>
    <row r="218" customFormat="false" ht="15" hidden="false" customHeight="false" outlineLevel="0" collapsed="false">
      <c r="A218" s="8" t="n">
        <v>46405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5" t="str">
        <f aca="false">IF(AND(K218="",L218=""),"",SUM(K218:L218))</f>
        <v/>
      </c>
      <c r="N218" s="6"/>
      <c r="O218" s="6"/>
      <c r="P218" s="10" t="str">
        <f aca="false">IF(OR(M218="",M218=0),"",IF(N218="",0,N218)/M218)</f>
        <v/>
      </c>
      <c r="Q218" s="7"/>
      <c r="R218" s="11" t="n">
        <f aca="false">A218+5</f>
        <v>46410</v>
      </c>
      <c r="S218" s="5" t="n">
        <f aca="false">IF(R218&gt;=DATE(YEAR(R218)+1,1,4)-WEEKDAY(DATE(YEAR(R218)+1,1,4))+1,YEAR(R218)+1,IF(R218&lt;DATE(YEAR(R218),1,4)-WEEKDAY(DATE(YEAR(R218),1,4))+1,YEAR(R218)-1,YEAR(R218)))</f>
        <v>2027</v>
      </c>
      <c r="T218" s="5" t="n">
        <f aca="false">INT((R218-(DATE(S218,1,4)-WEEKDAY(DATE(S218,1,4))+1))/7)+1</f>
        <v>3</v>
      </c>
      <c r="U218" s="5" t="str">
        <f aca="false">IF(T218&gt;=36,S218&amp;"-"&amp;RIGHT(S218+1,2),(S218-1)&amp;"-"&amp;RIGHT(S218,2))</f>
        <v>2026-27</v>
      </c>
    </row>
    <row r="219" customFormat="false" ht="15" hidden="false" customHeight="false" outlineLevel="0" collapsed="false">
      <c r="A219" s="8" t="n">
        <v>46412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5" t="str">
        <f aca="false">IF(AND(K219="",L219=""),"",SUM(K219:L219))</f>
        <v/>
      </c>
      <c r="N219" s="6"/>
      <c r="O219" s="6"/>
      <c r="P219" s="10" t="str">
        <f aca="false">IF(OR(M219="",M219=0),"",IF(N219="",0,N219)/M219)</f>
        <v/>
      </c>
      <c r="Q219" s="7"/>
      <c r="R219" s="11" t="n">
        <f aca="false">A219+5</f>
        <v>46417</v>
      </c>
      <c r="S219" s="5" t="n">
        <f aca="false">IF(R219&gt;=DATE(YEAR(R219)+1,1,4)-WEEKDAY(DATE(YEAR(R219)+1,1,4))+1,YEAR(R219)+1,IF(R219&lt;DATE(YEAR(R219),1,4)-WEEKDAY(DATE(YEAR(R219),1,4))+1,YEAR(R219)-1,YEAR(R219)))</f>
        <v>2027</v>
      </c>
      <c r="T219" s="5" t="n">
        <f aca="false">INT((R219-(DATE(S219,1,4)-WEEKDAY(DATE(S219,1,4))+1))/7)+1</f>
        <v>4</v>
      </c>
      <c r="U219" s="5" t="str">
        <f aca="false">IF(T219&gt;=36,S219&amp;"-"&amp;RIGHT(S219+1,2),(S219-1)&amp;"-"&amp;RIGHT(S219,2))</f>
        <v>2026-27</v>
      </c>
    </row>
    <row r="220" customFormat="false" ht="15" hidden="false" customHeight="false" outlineLevel="0" collapsed="false">
      <c r="A220" s="8" t="n">
        <v>46419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5" t="str">
        <f aca="false">IF(AND(K220="",L220=""),"",SUM(K220:L220))</f>
        <v/>
      </c>
      <c r="N220" s="6"/>
      <c r="O220" s="6"/>
      <c r="P220" s="10" t="str">
        <f aca="false">IF(OR(M220="",M220=0),"",IF(N220="",0,N220)/M220)</f>
        <v/>
      </c>
      <c r="Q220" s="7"/>
      <c r="R220" s="11" t="n">
        <f aca="false">A220+5</f>
        <v>46424</v>
      </c>
      <c r="S220" s="5" t="n">
        <f aca="false">IF(R220&gt;=DATE(YEAR(R220)+1,1,4)-WEEKDAY(DATE(YEAR(R220)+1,1,4))+1,YEAR(R220)+1,IF(R220&lt;DATE(YEAR(R220),1,4)-WEEKDAY(DATE(YEAR(R220),1,4))+1,YEAR(R220)-1,YEAR(R220)))</f>
        <v>2027</v>
      </c>
      <c r="T220" s="5" t="n">
        <f aca="false">INT((R220-(DATE(S220,1,4)-WEEKDAY(DATE(S220,1,4))+1))/7)+1</f>
        <v>5</v>
      </c>
      <c r="U220" s="5" t="str">
        <f aca="false">IF(T220&gt;=36,S220&amp;"-"&amp;RIGHT(S220+1,2),(S220-1)&amp;"-"&amp;RIGHT(S220,2))</f>
        <v>2026-27</v>
      </c>
    </row>
    <row r="221" customFormat="false" ht="15" hidden="false" customHeight="false" outlineLevel="0" collapsed="false">
      <c r="A221" s="8" t="n">
        <v>46426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5" t="str">
        <f aca="false">IF(AND(K221="",L221=""),"",SUM(K221:L221))</f>
        <v/>
      </c>
      <c r="N221" s="6"/>
      <c r="O221" s="6"/>
      <c r="P221" s="10" t="str">
        <f aca="false">IF(OR(M221="",M221=0),"",IF(N221="",0,N221)/M221)</f>
        <v/>
      </c>
      <c r="Q221" s="7"/>
      <c r="R221" s="11" t="n">
        <f aca="false">A221+5</f>
        <v>46431</v>
      </c>
      <c r="S221" s="5" t="n">
        <f aca="false">IF(R221&gt;=DATE(YEAR(R221)+1,1,4)-WEEKDAY(DATE(YEAR(R221)+1,1,4))+1,YEAR(R221)+1,IF(R221&lt;DATE(YEAR(R221),1,4)-WEEKDAY(DATE(YEAR(R221),1,4))+1,YEAR(R221)-1,YEAR(R221)))</f>
        <v>2027</v>
      </c>
      <c r="T221" s="5" t="n">
        <f aca="false">INT((R221-(DATE(S221,1,4)-WEEKDAY(DATE(S221,1,4))+1))/7)+1</f>
        <v>6</v>
      </c>
      <c r="U221" s="5" t="str">
        <f aca="false">IF(T221&gt;=36,S221&amp;"-"&amp;RIGHT(S221+1,2),(S221-1)&amp;"-"&amp;RIGHT(S221,2))</f>
        <v>2026-27</v>
      </c>
    </row>
    <row r="222" customFormat="false" ht="15" hidden="false" customHeight="false" outlineLevel="0" collapsed="false">
      <c r="A222" s="8" t="n">
        <v>46433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5" t="str">
        <f aca="false">IF(AND(K222="",L222=""),"",SUM(K222:L222))</f>
        <v/>
      </c>
      <c r="N222" s="6"/>
      <c r="O222" s="6"/>
      <c r="P222" s="10" t="str">
        <f aca="false">IF(OR(M222="",M222=0),"",IF(N222="",0,N222)/M222)</f>
        <v/>
      </c>
      <c r="Q222" s="7"/>
      <c r="R222" s="11" t="n">
        <f aca="false">A222+5</f>
        <v>46438</v>
      </c>
      <c r="S222" s="5" t="n">
        <f aca="false">IF(R222&gt;=DATE(YEAR(R222)+1,1,4)-WEEKDAY(DATE(YEAR(R222)+1,1,4))+1,YEAR(R222)+1,IF(R222&lt;DATE(YEAR(R222),1,4)-WEEKDAY(DATE(YEAR(R222),1,4))+1,YEAR(R222)-1,YEAR(R222)))</f>
        <v>2027</v>
      </c>
      <c r="T222" s="5" t="n">
        <f aca="false">INT((R222-(DATE(S222,1,4)-WEEKDAY(DATE(S222,1,4))+1))/7)+1</f>
        <v>7</v>
      </c>
      <c r="U222" s="5" t="str">
        <f aca="false">IF(T222&gt;=36,S222&amp;"-"&amp;RIGHT(S222+1,2),(S222-1)&amp;"-"&amp;RIGHT(S222,2))</f>
        <v>2026-27</v>
      </c>
    </row>
    <row r="223" customFormat="false" ht="15" hidden="false" customHeight="false" outlineLevel="0" collapsed="false">
      <c r="A223" s="8" t="n">
        <v>46440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5" t="str">
        <f aca="false">IF(AND(K223="",L223=""),"",SUM(K223:L223))</f>
        <v/>
      </c>
      <c r="N223" s="6"/>
      <c r="O223" s="6"/>
      <c r="P223" s="10" t="str">
        <f aca="false">IF(OR(M223="",M223=0),"",IF(N223="",0,N223)/M223)</f>
        <v/>
      </c>
      <c r="Q223" s="7"/>
      <c r="R223" s="11" t="n">
        <f aca="false">A223+5</f>
        <v>46445</v>
      </c>
      <c r="S223" s="5" t="n">
        <f aca="false">IF(R223&gt;=DATE(YEAR(R223)+1,1,4)-WEEKDAY(DATE(YEAR(R223)+1,1,4))+1,YEAR(R223)+1,IF(R223&lt;DATE(YEAR(R223),1,4)-WEEKDAY(DATE(YEAR(R223),1,4))+1,YEAR(R223)-1,YEAR(R223)))</f>
        <v>2027</v>
      </c>
      <c r="T223" s="5" t="n">
        <f aca="false">INT((R223-(DATE(S223,1,4)-WEEKDAY(DATE(S223,1,4))+1))/7)+1</f>
        <v>8</v>
      </c>
      <c r="U223" s="5" t="str">
        <f aca="false">IF(T223&gt;=36,S223&amp;"-"&amp;RIGHT(S223+1,2),(S223-1)&amp;"-"&amp;RIGHT(S223,2))</f>
        <v>2026-27</v>
      </c>
    </row>
    <row r="224" customFormat="false" ht="15" hidden="false" customHeight="false" outlineLevel="0" collapsed="false">
      <c r="A224" s="8" t="n">
        <v>46447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5" t="str">
        <f aca="false">IF(AND(K224="",L224=""),"",SUM(K224:L224))</f>
        <v/>
      </c>
      <c r="N224" s="6"/>
      <c r="O224" s="6"/>
      <c r="P224" s="10" t="str">
        <f aca="false">IF(OR(M224="",M224=0),"",IF(N224="",0,N224)/M224)</f>
        <v/>
      </c>
      <c r="Q224" s="7"/>
      <c r="R224" s="11" t="n">
        <f aca="false">A224+5</f>
        <v>46452</v>
      </c>
      <c r="S224" s="5" t="n">
        <f aca="false">IF(R224&gt;=DATE(YEAR(R224)+1,1,4)-WEEKDAY(DATE(YEAR(R224)+1,1,4))+1,YEAR(R224)+1,IF(R224&lt;DATE(YEAR(R224),1,4)-WEEKDAY(DATE(YEAR(R224),1,4))+1,YEAR(R224)-1,YEAR(R224)))</f>
        <v>2027</v>
      </c>
      <c r="T224" s="5" t="n">
        <f aca="false">INT((R224-(DATE(S224,1,4)-WEEKDAY(DATE(S224,1,4))+1))/7)+1</f>
        <v>9</v>
      </c>
      <c r="U224" s="5" t="str">
        <f aca="false">IF(T224&gt;=36,S224&amp;"-"&amp;RIGHT(S224+1,2),(S224-1)&amp;"-"&amp;RIGHT(S224,2))</f>
        <v>2026-27</v>
      </c>
    </row>
    <row r="225" customFormat="false" ht="15" hidden="false" customHeight="false" outlineLevel="0" collapsed="false">
      <c r="A225" s="8" t="n">
        <v>46454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5" t="str">
        <f aca="false">IF(AND(K225="",L225=""),"",SUM(K225:L225))</f>
        <v/>
      </c>
      <c r="N225" s="6"/>
      <c r="O225" s="6"/>
      <c r="P225" s="10" t="str">
        <f aca="false">IF(OR(M225="",M225=0),"",IF(N225="",0,N225)/M225)</f>
        <v/>
      </c>
      <c r="Q225" s="7"/>
      <c r="R225" s="11" t="n">
        <f aca="false">A225+5</f>
        <v>46459</v>
      </c>
      <c r="S225" s="5" t="n">
        <f aca="false">IF(R225&gt;=DATE(YEAR(R225)+1,1,4)-WEEKDAY(DATE(YEAR(R225)+1,1,4))+1,YEAR(R225)+1,IF(R225&lt;DATE(YEAR(R225),1,4)-WEEKDAY(DATE(YEAR(R225),1,4))+1,YEAR(R225)-1,YEAR(R225)))</f>
        <v>2027</v>
      </c>
      <c r="T225" s="5" t="n">
        <f aca="false">INT((R225-(DATE(S225,1,4)-WEEKDAY(DATE(S225,1,4))+1))/7)+1</f>
        <v>10</v>
      </c>
      <c r="U225" s="5" t="str">
        <f aca="false">IF(T225&gt;=36,S225&amp;"-"&amp;RIGHT(S225+1,2),(S225-1)&amp;"-"&amp;RIGHT(S225,2))</f>
        <v>2026-27</v>
      </c>
    </row>
    <row r="226" customFormat="false" ht="15" hidden="false" customHeight="false" outlineLevel="0" collapsed="false">
      <c r="A226" s="8" t="n">
        <v>46461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5" t="str">
        <f aca="false">IF(AND(K226="",L226=""),"",SUM(K226:L226))</f>
        <v/>
      </c>
      <c r="N226" s="6"/>
      <c r="O226" s="6"/>
      <c r="P226" s="10" t="str">
        <f aca="false">IF(OR(M226="",M226=0),"",IF(N226="",0,N226)/M226)</f>
        <v/>
      </c>
      <c r="Q226" s="7"/>
      <c r="R226" s="11" t="n">
        <f aca="false">A226+5</f>
        <v>46466</v>
      </c>
      <c r="S226" s="5" t="n">
        <f aca="false">IF(R226&gt;=DATE(YEAR(R226)+1,1,4)-WEEKDAY(DATE(YEAR(R226)+1,1,4))+1,YEAR(R226)+1,IF(R226&lt;DATE(YEAR(R226),1,4)-WEEKDAY(DATE(YEAR(R226),1,4))+1,YEAR(R226)-1,YEAR(R226)))</f>
        <v>2027</v>
      </c>
      <c r="T226" s="5" t="n">
        <f aca="false">INT((R226-(DATE(S226,1,4)-WEEKDAY(DATE(S226,1,4))+1))/7)+1</f>
        <v>11</v>
      </c>
      <c r="U226" s="5" t="str">
        <f aca="false">IF(T226&gt;=36,S226&amp;"-"&amp;RIGHT(S226+1,2),(S226-1)&amp;"-"&amp;RIGHT(S226,2))</f>
        <v>2026-27</v>
      </c>
    </row>
    <row r="227" customFormat="false" ht="15" hidden="false" customHeight="false" outlineLevel="0" collapsed="false">
      <c r="A227" s="8" t="n">
        <v>46468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5" t="str">
        <f aca="false">IF(AND(K227="",L227=""),"",SUM(K227:L227))</f>
        <v/>
      </c>
      <c r="N227" s="6"/>
      <c r="O227" s="6"/>
      <c r="P227" s="10" t="str">
        <f aca="false">IF(OR(M227="",M227=0),"",IF(N227="",0,N227)/M227)</f>
        <v/>
      </c>
      <c r="Q227" s="7"/>
      <c r="R227" s="11" t="n">
        <f aca="false">A227+5</f>
        <v>46473</v>
      </c>
      <c r="S227" s="5" t="n">
        <f aca="false">IF(R227&gt;=DATE(YEAR(R227)+1,1,4)-WEEKDAY(DATE(YEAR(R227)+1,1,4))+1,YEAR(R227)+1,IF(R227&lt;DATE(YEAR(R227),1,4)-WEEKDAY(DATE(YEAR(R227),1,4))+1,YEAR(R227)-1,YEAR(R227)))</f>
        <v>2027</v>
      </c>
      <c r="T227" s="5" t="n">
        <f aca="false">INT((R227-(DATE(S227,1,4)-WEEKDAY(DATE(S227,1,4))+1))/7)+1</f>
        <v>12</v>
      </c>
      <c r="U227" s="5" t="str">
        <f aca="false">IF(T227&gt;=36,S227&amp;"-"&amp;RIGHT(S227+1,2),(S227-1)&amp;"-"&amp;RIGHT(S227,2))</f>
        <v>2026-27</v>
      </c>
    </row>
    <row r="228" customFormat="false" ht="15" hidden="false" customHeight="false" outlineLevel="0" collapsed="false">
      <c r="A228" s="8" t="n">
        <v>46475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5" t="str">
        <f aca="false">IF(AND(K228="",L228=""),"",SUM(K228:L228))</f>
        <v/>
      </c>
      <c r="N228" s="6"/>
      <c r="O228" s="6"/>
      <c r="P228" s="10" t="str">
        <f aca="false">IF(OR(M228="",M228=0),"",IF(N228="",0,N228)/M228)</f>
        <v/>
      </c>
      <c r="Q228" s="7"/>
      <c r="R228" s="11" t="n">
        <f aca="false">A228+5</f>
        <v>46480</v>
      </c>
      <c r="S228" s="5" t="n">
        <f aca="false">IF(R228&gt;=DATE(YEAR(R228)+1,1,4)-WEEKDAY(DATE(YEAR(R228)+1,1,4))+1,YEAR(R228)+1,IF(R228&lt;DATE(YEAR(R228),1,4)-WEEKDAY(DATE(YEAR(R228),1,4))+1,YEAR(R228)-1,YEAR(R228)))</f>
        <v>2027</v>
      </c>
      <c r="T228" s="5" t="n">
        <f aca="false">INT((R228-(DATE(S228,1,4)-WEEKDAY(DATE(S228,1,4))+1))/7)+1</f>
        <v>13</v>
      </c>
      <c r="U228" s="5" t="str">
        <f aca="false">IF(T228&gt;=36,S228&amp;"-"&amp;RIGHT(S228+1,2),(S228-1)&amp;"-"&amp;RIGHT(S228,2))</f>
        <v>2026-27</v>
      </c>
    </row>
    <row r="229" customFormat="false" ht="15" hidden="false" customHeight="false" outlineLevel="0" collapsed="false">
      <c r="A229" s="8" t="n">
        <v>46482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5" t="str">
        <f aca="false">IF(AND(K229="",L229=""),"",SUM(K229:L229))</f>
        <v/>
      </c>
      <c r="N229" s="6"/>
      <c r="O229" s="6"/>
      <c r="P229" s="10" t="str">
        <f aca="false">IF(OR(M229="",M229=0),"",IF(N229="",0,N229)/M229)</f>
        <v/>
      </c>
      <c r="Q229" s="7"/>
      <c r="R229" s="11" t="n">
        <f aca="false">A229+5</f>
        <v>46487</v>
      </c>
      <c r="S229" s="5" t="n">
        <f aca="false">IF(R229&gt;=DATE(YEAR(R229)+1,1,4)-WEEKDAY(DATE(YEAR(R229)+1,1,4))+1,YEAR(R229)+1,IF(R229&lt;DATE(YEAR(R229),1,4)-WEEKDAY(DATE(YEAR(R229),1,4))+1,YEAR(R229)-1,YEAR(R229)))</f>
        <v>2027</v>
      </c>
      <c r="T229" s="5" t="n">
        <f aca="false">INT((R229-(DATE(S229,1,4)-WEEKDAY(DATE(S229,1,4))+1))/7)+1</f>
        <v>14</v>
      </c>
      <c r="U229" s="5" t="str">
        <f aca="false">IF(T229&gt;=36,S229&amp;"-"&amp;RIGHT(S229+1,2),(S229-1)&amp;"-"&amp;RIGHT(S229,2))</f>
        <v>2026-27</v>
      </c>
    </row>
    <row r="230" customFormat="false" ht="15" hidden="false" customHeight="false" outlineLevel="0" collapsed="false">
      <c r="A230" s="8" t="n">
        <v>46489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5" t="str">
        <f aca="false">IF(AND(K230="",L230=""),"",SUM(K230:L230))</f>
        <v/>
      </c>
      <c r="N230" s="6"/>
      <c r="O230" s="6"/>
      <c r="P230" s="10" t="str">
        <f aca="false">IF(OR(M230="",M230=0),"",IF(N230="",0,N230)/M230)</f>
        <v/>
      </c>
      <c r="Q230" s="7"/>
      <c r="R230" s="11" t="n">
        <f aca="false">A230+5</f>
        <v>46494</v>
      </c>
      <c r="S230" s="5" t="n">
        <f aca="false">IF(R230&gt;=DATE(YEAR(R230)+1,1,4)-WEEKDAY(DATE(YEAR(R230)+1,1,4))+1,YEAR(R230)+1,IF(R230&lt;DATE(YEAR(R230),1,4)-WEEKDAY(DATE(YEAR(R230),1,4))+1,YEAR(R230)-1,YEAR(R230)))</f>
        <v>2027</v>
      </c>
      <c r="T230" s="5" t="n">
        <f aca="false">INT((R230-(DATE(S230,1,4)-WEEKDAY(DATE(S230,1,4))+1))/7)+1</f>
        <v>15</v>
      </c>
      <c r="U230" s="5" t="str">
        <f aca="false">IF(T230&gt;=36,S230&amp;"-"&amp;RIGHT(S230+1,2),(S230-1)&amp;"-"&amp;RIGHT(S230,2))</f>
        <v>2026-27</v>
      </c>
    </row>
    <row r="231" customFormat="false" ht="15" hidden="false" customHeight="false" outlineLevel="0" collapsed="false">
      <c r="A231" s="8" t="n">
        <v>46496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5" t="str">
        <f aca="false">IF(AND(K231="",L231=""),"",SUM(K231:L231))</f>
        <v/>
      </c>
      <c r="N231" s="6"/>
      <c r="O231" s="6"/>
      <c r="P231" s="10" t="str">
        <f aca="false">IF(OR(M231="",M231=0),"",IF(N231="",0,N231)/M231)</f>
        <v/>
      </c>
      <c r="Q231" s="7"/>
      <c r="R231" s="11" t="n">
        <f aca="false">A231+5</f>
        <v>46501</v>
      </c>
      <c r="S231" s="5" t="n">
        <f aca="false">IF(R231&gt;=DATE(YEAR(R231)+1,1,4)-WEEKDAY(DATE(YEAR(R231)+1,1,4))+1,YEAR(R231)+1,IF(R231&lt;DATE(YEAR(R231),1,4)-WEEKDAY(DATE(YEAR(R231),1,4))+1,YEAR(R231)-1,YEAR(R231)))</f>
        <v>2027</v>
      </c>
      <c r="T231" s="5" t="n">
        <f aca="false">INT((R231-(DATE(S231,1,4)-WEEKDAY(DATE(S231,1,4))+1))/7)+1</f>
        <v>16</v>
      </c>
      <c r="U231" s="5" t="str">
        <f aca="false">IF(T231&gt;=36,S231&amp;"-"&amp;RIGHT(S231+1,2),(S231-1)&amp;"-"&amp;RIGHT(S231,2))</f>
        <v>2026-27</v>
      </c>
    </row>
    <row r="232" customFormat="false" ht="15" hidden="false" customHeight="false" outlineLevel="0" collapsed="false">
      <c r="A232" s="8" t="n">
        <v>46503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5" t="str">
        <f aca="false">IF(AND(K232="",L232=""),"",SUM(K232:L232))</f>
        <v/>
      </c>
      <c r="N232" s="6"/>
      <c r="O232" s="6"/>
      <c r="P232" s="10" t="str">
        <f aca="false">IF(OR(M232="",M232=0),"",IF(N232="",0,N232)/M232)</f>
        <v/>
      </c>
      <c r="Q232" s="7"/>
      <c r="R232" s="11" t="n">
        <f aca="false">A232+5</f>
        <v>46508</v>
      </c>
      <c r="S232" s="5" t="n">
        <f aca="false">IF(R232&gt;=DATE(YEAR(R232)+1,1,4)-WEEKDAY(DATE(YEAR(R232)+1,1,4))+1,YEAR(R232)+1,IF(R232&lt;DATE(YEAR(R232),1,4)-WEEKDAY(DATE(YEAR(R232),1,4))+1,YEAR(R232)-1,YEAR(R232)))</f>
        <v>2027</v>
      </c>
      <c r="T232" s="5" t="n">
        <f aca="false">INT((R232-(DATE(S232,1,4)-WEEKDAY(DATE(S232,1,4))+1))/7)+1</f>
        <v>17</v>
      </c>
      <c r="U232" s="5" t="str">
        <f aca="false">IF(T232&gt;=36,S232&amp;"-"&amp;RIGHT(S232+1,2),(S232-1)&amp;"-"&amp;RIGHT(S232,2))</f>
        <v>2026-27</v>
      </c>
    </row>
    <row r="233" customFormat="false" ht="15" hidden="false" customHeight="false" outlineLevel="0" collapsed="false">
      <c r="A233" s="8" t="n">
        <v>46510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5" t="str">
        <f aca="false">IF(AND(K233="",L233=""),"",SUM(K233:L233))</f>
        <v/>
      </c>
      <c r="N233" s="6"/>
      <c r="O233" s="6"/>
      <c r="P233" s="10" t="str">
        <f aca="false">IF(OR(M233="",M233=0),"",IF(N233="",0,N233)/M233)</f>
        <v/>
      </c>
      <c r="Q233" s="7"/>
      <c r="R233" s="11" t="n">
        <f aca="false">A233+5</f>
        <v>46515</v>
      </c>
      <c r="S233" s="5" t="n">
        <f aca="false">IF(R233&gt;=DATE(YEAR(R233)+1,1,4)-WEEKDAY(DATE(YEAR(R233)+1,1,4))+1,YEAR(R233)+1,IF(R233&lt;DATE(YEAR(R233),1,4)-WEEKDAY(DATE(YEAR(R233),1,4))+1,YEAR(R233)-1,YEAR(R233)))</f>
        <v>2027</v>
      </c>
      <c r="T233" s="5" t="n">
        <f aca="false">INT((R233-(DATE(S233,1,4)-WEEKDAY(DATE(S233,1,4))+1))/7)+1</f>
        <v>18</v>
      </c>
      <c r="U233" s="5" t="str">
        <f aca="false">IF(T233&gt;=36,S233&amp;"-"&amp;RIGHT(S233+1,2),(S233-1)&amp;"-"&amp;RIGHT(S233,2))</f>
        <v>2026-27</v>
      </c>
    </row>
    <row r="234" customFormat="false" ht="15" hidden="false" customHeight="false" outlineLevel="0" collapsed="false">
      <c r="A234" s="8" t="n">
        <v>46517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5" t="str">
        <f aca="false">IF(AND(K234="",L234=""),"",SUM(K234:L234))</f>
        <v/>
      </c>
      <c r="N234" s="6"/>
      <c r="O234" s="6"/>
      <c r="P234" s="10" t="str">
        <f aca="false">IF(OR(M234="",M234=0),"",IF(N234="",0,N234)/M234)</f>
        <v/>
      </c>
      <c r="Q234" s="7"/>
      <c r="R234" s="11" t="n">
        <f aca="false">A234+5</f>
        <v>46522</v>
      </c>
      <c r="S234" s="5" t="n">
        <f aca="false">IF(R234&gt;=DATE(YEAR(R234)+1,1,4)-WEEKDAY(DATE(YEAR(R234)+1,1,4))+1,YEAR(R234)+1,IF(R234&lt;DATE(YEAR(R234),1,4)-WEEKDAY(DATE(YEAR(R234),1,4))+1,YEAR(R234)-1,YEAR(R234)))</f>
        <v>2027</v>
      </c>
      <c r="T234" s="5" t="n">
        <f aca="false">INT((R234-(DATE(S234,1,4)-WEEKDAY(DATE(S234,1,4))+1))/7)+1</f>
        <v>19</v>
      </c>
      <c r="U234" s="5" t="str">
        <f aca="false">IF(T234&gt;=36,S234&amp;"-"&amp;RIGHT(S234+1,2),(S234-1)&amp;"-"&amp;RIGHT(S234,2))</f>
        <v>2026-27</v>
      </c>
    </row>
    <row r="235" customFormat="false" ht="15" hidden="false" customHeight="false" outlineLevel="0" collapsed="false">
      <c r="A235" s="8" t="n">
        <v>46524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5" t="str">
        <f aca="false">IF(AND(K235="",L235=""),"",SUM(K235:L235))</f>
        <v/>
      </c>
      <c r="N235" s="6"/>
      <c r="O235" s="6"/>
      <c r="P235" s="10" t="str">
        <f aca="false">IF(OR(M235="",M235=0),"",IF(N235="",0,N235)/M235)</f>
        <v/>
      </c>
      <c r="Q235" s="7"/>
      <c r="R235" s="11" t="n">
        <f aca="false">A235+5</f>
        <v>46529</v>
      </c>
      <c r="S235" s="5" t="n">
        <f aca="false">IF(R235&gt;=DATE(YEAR(R235)+1,1,4)-WEEKDAY(DATE(YEAR(R235)+1,1,4))+1,YEAR(R235)+1,IF(R235&lt;DATE(YEAR(R235),1,4)-WEEKDAY(DATE(YEAR(R235),1,4))+1,YEAR(R235)-1,YEAR(R235)))</f>
        <v>2027</v>
      </c>
      <c r="T235" s="5" t="n">
        <f aca="false">INT((R235-(DATE(S235,1,4)-WEEKDAY(DATE(S235,1,4))+1))/7)+1</f>
        <v>20</v>
      </c>
      <c r="U235" s="5" t="str">
        <f aca="false">IF(T235&gt;=36,S235&amp;"-"&amp;RIGHT(S235+1,2),(S235-1)&amp;"-"&amp;RIGHT(S235,2))</f>
        <v>2026-27</v>
      </c>
    </row>
    <row r="236" customFormat="false" ht="15" hidden="false" customHeight="false" outlineLevel="0" collapsed="false">
      <c r="A236" s="8" t="n">
        <v>46531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5" t="str">
        <f aca="false">IF(AND(K236="",L236=""),"",SUM(K236:L236))</f>
        <v/>
      </c>
      <c r="N236" s="6"/>
      <c r="O236" s="6"/>
      <c r="P236" s="10" t="str">
        <f aca="false">IF(OR(M236="",M236=0),"",IF(N236="",0,N236)/M236)</f>
        <v/>
      </c>
      <c r="Q236" s="7"/>
      <c r="R236" s="11" t="n">
        <f aca="false">A236+5</f>
        <v>46536</v>
      </c>
      <c r="S236" s="5" t="n">
        <f aca="false">IF(R236&gt;=DATE(YEAR(R236)+1,1,4)-WEEKDAY(DATE(YEAR(R236)+1,1,4))+1,YEAR(R236)+1,IF(R236&lt;DATE(YEAR(R236),1,4)-WEEKDAY(DATE(YEAR(R236),1,4))+1,YEAR(R236)-1,YEAR(R236)))</f>
        <v>2027</v>
      </c>
      <c r="T236" s="5" t="n">
        <f aca="false">INT((R236-(DATE(S236,1,4)-WEEKDAY(DATE(S236,1,4))+1))/7)+1</f>
        <v>21</v>
      </c>
      <c r="U236" s="5" t="str">
        <f aca="false">IF(T236&gt;=36,S236&amp;"-"&amp;RIGHT(S236+1,2),(S236-1)&amp;"-"&amp;RIGHT(S236,2))</f>
        <v>2026-27</v>
      </c>
    </row>
    <row r="237" customFormat="false" ht="15" hidden="false" customHeight="false" outlineLevel="0" collapsed="false">
      <c r="A237" s="8" t="n">
        <v>46538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5" t="str">
        <f aca="false">IF(AND(K237="",L237=""),"",SUM(K237:L237))</f>
        <v/>
      </c>
      <c r="N237" s="6"/>
      <c r="O237" s="6"/>
      <c r="P237" s="10" t="str">
        <f aca="false">IF(OR(M237="",M237=0),"",IF(N237="",0,N237)/M237)</f>
        <v/>
      </c>
      <c r="Q237" s="7"/>
      <c r="R237" s="11" t="n">
        <f aca="false">A237+5</f>
        <v>46543</v>
      </c>
      <c r="S237" s="5" t="n">
        <f aca="false">IF(R237&gt;=DATE(YEAR(R237)+1,1,4)-WEEKDAY(DATE(YEAR(R237)+1,1,4))+1,YEAR(R237)+1,IF(R237&lt;DATE(YEAR(R237),1,4)-WEEKDAY(DATE(YEAR(R237),1,4))+1,YEAR(R237)-1,YEAR(R237)))</f>
        <v>2027</v>
      </c>
      <c r="T237" s="5" t="n">
        <f aca="false">INT((R237-(DATE(S237,1,4)-WEEKDAY(DATE(S237,1,4))+1))/7)+1</f>
        <v>22</v>
      </c>
      <c r="U237" s="5" t="str">
        <f aca="false">IF(T237&gt;=36,S237&amp;"-"&amp;RIGHT(S237+1,2),(S237-1)&amp;"-"&amp;RIGHT(S237,2))</f>
        <v>2026-27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K77" activeCellId="0" sqref="K7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0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4" t="s">
        <v>39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21</v>
      </c>
    </row>
    <row r="2" customFormat="false" ht="15" hidden="false" customHeight="false" outlineLevel="0" collapsed="false">
      <c r="A2" s="8" t="n">
        <v>45285</v>
      </c>
      <c r="B2" s="6" t="n">
        <v>10</v>
      </c>
      <c r="C2" s="6" t="n">
        <v>23</v>
      </c>
      <c r="D2" s="10" t="n">
        <f aca="false">IF(SUM(B2:C2)=0,"",B2/SUM(B2:C2))</f>
        <v>0.303030303030303</v>
      </c>
      <c r="E2" s="6" t="n">
        <v>13</v>
      </c>
      <c r="F2" s="6" t="n">
        <v>99</v>
      </c>
      <c r="G2" s="10" t="n">
        <f aca="false">IF(SUM(E2:F2)=0,"",E2/SUM(E2:F2))</f>
        <v>0.116071428571429</v>
      </c>
      <c r="H2" s="6" t="n">
        <v>5</v>
      </c>
      <c r="I2" s="6" t="n">
        <v>42</v>
      </c>
      <c r="J2" s="10" t="n">
        <f aca="false">IF(SUM(H2:I2)=0,"",H2/SUM(H2:I2))</f>
        <v>0.106382978723404</v>
      </c>
      <c r="K2" s="7"/>
    </row>
    <row r="3" customFormat="false" ht="15" hidden="false" customHeight="false" outlineLevel="0" collapsed="false">
      <c r="A3" s="8" t="n">
        <v>45292</v>
      </c>
      <c r="B3" s="6" t="n">
        <v>13</v>
      </c>
      <c r="C3" s="6" t="n">
        <v>17</v>
      </c>
      <c r="D3" s="10" t="n">
        <f aca="false">IF(SUM(B3:C3)=0,"",B3/SUM(B3:C3))</f>
        <v>0.433333333333333</v>
      </c>
      <c r="E3" s="6" t="n">
        <v>24</v>
      </c>
      <c r="F3" s="6" t="n">
        <v>132</v>
      </c>
      <c r="G3" s="10" t="n">
        <f aca="false">IF(SUM(E3:F3)=0,"",E3/SUM(E3:F3))</f>
        <v>0.153846153846154</v>
      </c>
      <c r="H3" s="6" t="n">
        <v>4</v>
      </c>
      <c r="I3" s="6" t="n">
        <v>57</v>
      </c>
      <c r="J3" s="10" t="n">
        <f aca="false">IF(SUM(H3:I3)=0,"",H3/SUM(H3:I3))</f>
        <v>0.0655737704918033</v>
      </c>
      <c r="K3" s="7"/>
    </row>
    <row r="4" customFormat="false" ht="15" hidden="false" customHeight="false" outlineLevel="0" collapsed="false">
      <c r="A4" s="8" t="n">
        <v>45299</v>
      </c>
      <c r="B4" s="6" t="n">
        <v>8</v>
      </c>
      <c r="C4" s="6" t="n">
        <v>17</v>
      </c>
      <c r="D4" s="10" t="n">
        <f aca="false">IF(SUM(B4:C4)=0,"",B4/SUM(B4:C4))</f>
        <v>0.32</v>
      </c>
      <c r="E4" s="6" t="n">
        <v>7</v>
      </c>
      <c r="F4" s="6" t="n">
        <v>127</v>
      </c>
      <c r="G4" s="10" t="n">
        <f aca="false">IF(SUM(E4:F4)=0,"",E4/SUM(E4:F4))</f>
        <v>0.0522388059701493</v>
      </c>
      <c r="H4" s="6" t="n">
        <v>10</v>
      </c>
      <c r="I4" s="6" t="n">
        <v>47</v>
      </c>
      <c r="J4" s="10" t="n">
        <f aca="false">IF(SUM(H4:I4)=0,"",H4/SUM(H4:I4))</f>
        <v>0.175438596491228</v>
      </c>
      <c r="K4" s="7"/>
    </row>
    <row r="5" customFormat="false" ht="15" hidden="false" customHeight="false" outlineLevel="0" collapsed="false">
      <c r="A5" s="8" t="n">
        <v>45306</v>
      </c>
      <c r="B5" s="6" t="n">
        <v>5</v>
      </c>
      <c r="C5" s="6" t="n">
        <v>17</v>
      </c>
      <c r="D5" s="10" t="n">
        <f aca="false">IF(SUM(B5:C5)=0,"",B5/SUM(B5:C5))</f>
        <v>0.227272727272727</v>
      </c>
      <c r="E5" s="6" t="n">
        <v>14</v>
      </c>
      <c r="F5" s="6" t="n">
        <v>112</v>
      </c>
      <c r="G5" s="10" t="n">
        <f aca="false">IF(SUM(E5:F5)=0,"",E5/SUM(E5:F5))</f>
        <v>0.111111111111111</v>
      </c>
      <c r="H5" s="6" t="n">
        <v>10</v>
      </c>
      <c r="I5" s="6" t="n">
        <v>42</v>
      </c>
      <c r="J5" s="10" t="n">
        <f aca="false">IF(SUM(H5:I5)=0,"",H5/SUM(H5:I5))</f>
        <v>0.192307692307692</v>
      </c>
      <c r="K5" s="7"/>
    </row>
    <row r="6" customFormat="false" ht="15" hidden="false" customHeight="false" outlineLevel="0" collapsed="false">
      <c r="A6" s="8" t="n">
        <v>45313</v>
      </c>
      <c r="B6" s="6" t="n">
        <v>5</v>
      </c>
      <c r="C6" s="6" t="n">
        <v>18</v>
      </c>
      <c r="D6" s="10" t="n">
        <f aca="false">IF(SUM(B6:C6)=0,"",B6/SUM(B6:C6))</f>
        <v>0.217391304347826</v>
      </c>
      <c r="E6" s="6" t="n">
        <v>6</v>
      </c>
      <c r="F6" s="6" t="n">
        <v>108</v>
      </c>
      <c r="G6" s="10" t="n">
        <f aca="false">IF(SUM(E6:F6)=0,"",E6/SUM(E6:F6))</f>
        <v>0.0526315789473684</v>
      </c>
      <c r="H6" s="6" t="n">
        <v>5</v>
      </c>
      <c r="I6" s="6" t="n">
        <v>38</v>
      </c>
      <c r="J6" s="10" t="n">
        <f aca="false">IF(SUM(H6:I6)=0,"",H6/SUM(H6:I6))</f>
        <v>0.116279069767442</v>
      </c>
      <c r="K6" s="7"/>
    </row>
    <row r="7" customFormat="false" ht="15" hidden="false" customHeight="false" outlineLevel="0" collapsed="false">
      <c r="A7" s="8" t="n">
        <v>45320</v>
      </c>
      <c r="B7" s="6" t="n">
        <v>5</v>
      </c>
      <c r="C7" s="6" t="n">
        <v>9</v>
      </c>
      <c r="D7" s="10" t="n">
        <f aca="false">IF(SUM(B7:C7)=0,"",B7/SUM(B7:C7))</f>
        <v>0.357142857142857</v>
      </c>
      <c r="E7" s="6" t="n">
        <v>12</v>
      </c>
      <c r="F7" s="6" t="n">
        <v>100</v>
      </c>
      <c r="G7" s="10" t="n">
        <f aca="false">IF(SUM(E7:F7)=0,"",E7/SUM(E7:F7))</f>
        <v>0.107142857142857</v>
      </c>
      <c r="H7" s="6" t="n">
        <v>4</v>
      </c>
      <c r="I7" s="6" t="n">
        <v>46</v>
      </c>
      <c r="J7" s="10" t="n">
        <f aca="false">IF(SUM(H7:I7)=0,"",H7/SUM(H7:I7))</f>
        <v>0.08</v>
      </c>
      <c r="K7" s="7"/>
    </row>
    <row r="8" customFormat="false" ht="15" hidden="false" customHeight="false" outlineLevel="0" collapsed="false">
      <c r="A8" s="8" t="n">
        <v>45327</v>
      </c>
      <c r="B8" s="6" t="n">
        <v>2</v>
      </c>
      <c r="C8" s="6" t="n">
        <v>13</v>
      </c>
      <c r="D8" s="10" t="n">
        <f aca="false">IF(SUM(B8:C8)=0,"",B8/SUM(B8:C8))</f>
        <v>0.133333333333333</v>
      </c>
      <c r="E8" s="6" t="n">
        <v>8</v>
      </c>
      <c r="F8" s="6" t="n">
        <v>100</v>
      </c>
      <c r="G8" s="10" t="n">
        <f aca="false">IF(SUM(E8:F8)=0,"",E8/SUM(E8:F8))</f>
        <v>0.0740740740740741</v>
      </c>
      <c r="H8" s="6" t="n">
        <v>5</v>
      </c>
      <c r="I8" s="6" t="n">
        <v>40</v>
      </c>
      <c r="J8" s="10" t="n">
        <f aca="false">IF(SUM(H8:I8)=0,"",H8/SUM(H8:I8))</f>
        <v>0.111111111111111</v>
      </c>
      <c r="K8" s="7"/>
    </row>
    <row r="9" customFormat="false" ht="15" hidden="false" customHeight="false" outlineLevel="0" collapsed="false">
      <c r="A9" s="8" t="n">
        <v>45334</v>
      </c>
      <c r="B9" s="6" t="n">
        <v>7</v>
      </c>
      <c r="C9" s="6" t="n">
        <v>10</v>
      </c>
      <c r="D9" s="10" t="n">
        <f aca="false">IF(SUM(B9:C9)=0,"",B9/SUM(B9:C9))</f>
        <v>0.411764705882353</v>
      </c>
      <c r="E9" s="6" t="n">
        <v>6</v>
      </c>
      <c r="F9" s="6" t="n">
        <v>72</v>
      </c>
      <c r="G9" s="10" t="n">
        <f aca="false">IF(SUM(E9:F9)=0,"",E9/SUM(E9:F9))</f>
        <v>0.0769230769230769</v>
      </c>
      <c r="H9" s="6" t="n">
        <v>1</v>
      </c>
      <c r="I9" s="6" t="n">
        <v>26</v>
      </c>
      <c r="J9" s="10" t="n">
        <f aca="false">IF(SUM(H9:I9)=0,"",H9/SUM(H9:I9))</f>
        <v>0.037037037037037</v>
      </c>
      <c r="K9" s="7"/>
    </row>
    <row r="10" customFormat="false" ht="15" hidden="false" customHeight="false" outlineLevel="0" collapsed="false">
      <c r="A10" s="8" t="n">
        <v>45341</v>
      </c>
      <c r="B10" s="6" t="n">
        <v>3</v>
      </c>
      <c r="C10" s="6" t="n">
        <v>8</v>
      </c>
      <c r="D10" s="10" t="n">
        <f aca="false">IF(SUM(B10:C10)=0,"",B10/SUM(B10:C10))</f>
        <v>0.272727272727273</v>
      </c>
      <c r="E10" s="6" t="n">
        <v>9</v>
      </c>
      <c r="F10" s="6" t="n">
        <v>77</v>
      </c>
      <c r="G10" s="10" t="n">
        <f aca="false">IF(SUM(E10:F10)=0,"",E10/SUM(E10:F10))</f>
        <v>0.104651162790698</v>
      </c>
      <c r="H10" s="6" t="n">
        <v>1</v>
      </c>
      <c r="I10" s="6" t="n">
        <v>30</v>
      </c>
      <c r="J10" s="10" t="n">
        <f aca="false">IF(SUM(H10:I10)=0,"",H10/SUM(H10:I10))</f>
        <v>0.032258064516129</v>
      </c>
      <c r="K10" s="7"/>
    </row>
    <row r="11" customFormat="false" ht="15" hidden="false" customHeight="false" outlineLevel="0" collapsed="false">
      <c r="A11" s="8" t="n">
        <v>45348</v>
      </c>
      <c r="B11" s="6" t="n">
        <v>2</v>
      </c>
      <c r="C11" s="6" t="n">
        <v>14</v>
      </c>
      <c r="D11" s="10" t="n">
        <f aca="false">IF(SUM(B11:C11)=0,"",B11/SUM(B11:C11))</f>
        <v>0.125</v>
      </c>
      <c r="E11" s="6" t="n">
        <v>5</v>
      </c>
      <c r="F11" s="6" t="n">
        <v>71</v>
      </c>
      <c r="G11" s="10" t="n">
        <f aca="false">IF(SUM(E11:F11)=0,"",E11/SUM(E11:F11))</f>
        <v>0.0657894736842105</v>
      </c>
      <c r="H11" s="6" t="n">
        <v>2</v>
      </c>
      <c r="I11" s="6" t="n">
        <v>31</v>
      </c>
      <c r="J11" s="10" t="n">
        <f aca="false">IF(SUM(H11:I11)=0,"",H11/SUM(H11:I11))</f>
        <v>0.0606060606060606</v>
      </c>
      <c r="K11" s="7"/>
    </row>
    <row r="12" customFormat="false" ht="15" hidden="false" customHeight="false" outlineLevel="0" collapsed="false">
      <c r="A12" s="8" t="n">
        <v>45355</v>
      </c>
      <c r="B12" s="6" t="n">
        <v>0</v>
      </c>
      <c r="C12" s="6" t="n">
        <v>11</v>
      </c>
      <c r="D12" s="10" t="n">
        <f aca="false">IF(SUM(B12:C12)=0,"",B12/SUM(B12:C12))</f>
        <v>0</v>
      </c>
      <c r="E12" s="6" t="n">
        <v>1</v>
      </c>
      <c r="F12" s="6" t="n">
        <v>47</v>
      </c>
      <c r="G12" s="10" t="n">
        <f aca="false">IF(SUM(E12:F12)=0,"",E12/SUM(E12:F12))</f>
        <v>0.0208333333333333</v>
      </c>
      <c r="H12" s="6" t="n">
        <v>0</v>
      </c>
      <c r="I12" s="6" t="n">
        <v>20</v>
      </c>
      <c r="J12" s="10" t="n">
        <f aca="false">IF(SUM(H12:I12)=0,"",H12/SUM(H12:I12))</f>
        <v>0</v>
      </c>
      <c r="K12" s="7"/>
    </row>
    <row r="13" customFormat="false" ht="15" hidden="false" customHeight="false" outlineLevel="0" collapsed="false">
      <c r="A13" s="8" t="n">
        <v>45537</v>
      </c>
      <c r="B13" s="6" t="n">
        <v>7</v>
      </c>
      <c r="C13" s="6" t="n">
        <v>14</v>
      </c>
      <c r="D13" s="10" t="n">
        <f aca="false">IF(SUM(B13:C13)=0,"",B13/SUM(B13:C13))</f>
        <v>0.333333333333333</v>
      </c>
      <c r="E13" s="6" t="n">
        <v>0</v>
      </c>
      <c r="F13" s="6" t="n">
        <v>21</v>
      </c>
      <c r="G13" s="10" t="n">
        <f aca="false">IF(SUM(E13:F13)=0,"",E13/SUM(E13:F13))</f>
        <v>0</v>
      </c>
      <c r="H13" s="6" t="n">
        <v>0</v>
      </c>
      <c r="I13" s="6" t="n">
        <v>21</v>
      </c>
      <c r="J13" s="10" t="n">
        <f aca="false">IF(SUM(H13:I13)=0,"",H13/SUM(H13:I13))</f>
        <v>0</v>
      </c>
      <c r="K13" s="7"/>
    </row>
    <row r="14" customFormat="false" ht="15" hidden="false" customHeight="false" outlineLevel="0" collapsed="false">
      <c r="A14" s="8" t="n">
        <v>45544</v>
      </c>
      <c r="B14" s="6" t="n">
        <v>4</v>
      </c>
      <c r="C14" s="6" t="n">
        <v>5</v>
      </c>
      <c r="D14" s="10" t="n">
        <f aca="false">IF(SUM(B14:C14)=0,"",B14/SUM(B14:C14))</f>
        <v>0.444444444444444</v>
      </c>
      <c r="E14" s="6" t="n">
        <v>1</v>
      </c>
      <c r="F14" s="6" t="n">
        <v>8</v>
      </c>
      <c r="G14" s="10" t="n">
        <f aca="false">IF(SUM(E14:F14)=0,"",E14/SUM(E14:F14))</f>
        <v>0.111111111111111</v>
      </c>
      <c r="H14" s="6" t="n">
        <v>0</v>
      </c>
      <c r="I14" s="6" t="n">
        <v>8</v>
      </c>
      <c r="J14" s="10" t="n">
        <f aca="false">IF(SUM(H14:I14)=0,"",H14/SUM(H14:I14))</f>
        <v>0</v>
      </c>
      <c r="K14" s="7"/>
    </row>
    <row r="15" customFormat="false" ht="15" hidden="false" customHeight="false" outlineLevel="0" collapsed="false">
      <c r="A15" s="8" t="n">
        <v>45551</v>
      </c>
      <c r="B15" s="6" t="n">
        <v>6</v>
      </c>
      <c r="C15" s="6" t="n">
        <v>19</v>
      </c>
      <c r="D15" s="10" t="n">
        <f aca="false">IF(SUM(B15:C15)=0,"",B15/SUM(B15:C15))</f>
        <v>0.24</v>
      </c>
      <c r="E15" s="6" t="n">
        <v>2</v>
      </c>
      <c r="F15" s="6" t="n">
        <v>21</v>
      </c>
      <c r="G15" s="10" t="n">
        <f aca="false">IF(SUM(E15:F15)=0,"",E15/SUM(E15:F15))</f>
        <v>0.0869565217391304</v>
      </c>
      <c r="H15" s="6" t="n">
        <v>0</v>
      </c>
      <c r="I15" s="6" t="n">
        <v>22</v>
      </c>
      <c r="J15" s="10" t="n">
        <f aca="false">IF(SUM(H15:I15)=0,"",H15/SUM(H15:I15))</f>
        <v>0</v>
      </c>
      <c r="K15" s="7"/>
    </row>
    <row r="16" customFormat="false" ht="15" hidden="false" customHeight="false" outlineLevel="0" collapsed="false">
      <c r="A16" s="8" t="n">
        <v>45558</v>
      </c>
      <c r="B16" s="6" t="n">
        <v>8</v>
      </c>
      <c r="C16" s="6" t="n">
        <v>3</v>
      </c>
      <c r="D16" s="10" t="n">
        <f aca="false">IF(SUM(B16:C16)=0,"",B16/SUM(B16:C16))</f>
        <v>0.727272727272727</v>
      </c>
      <c r="E16" s="6" t="n">
        <v>0</v>
      </c>
      <c r="F16" s="6" t="n">
        <v>13</v>
      </c>
      <c r="G16" s="10" t="n">
        <f aca="false">IF(SUM(E16:F16)=0,"",E16/SUM(E16:F16))</f>
        <v>0</v>
      </c>
      <c r="H16" s="6" t="n">
        <v>0</v>
      </c>
      <c r="I16" s="6" t="n">
        <v>11</v>
      </c>
      <c r="J16" s="10" t="n">
        <f aca="false">IF(SUM(H16:I16)=0,"",H16/SUM(H16:I16))</f>
        <v>0</v>
      </c>
      <c r="K16" s="7"/>
    </row>
    <row r="17" customFormat="false" ht="15" hidden="false" customHeight="false" outlineLevel="0" collapsed="false">
      <c r="A17" s="8" t="n">
        <v>45565</v>
      </c>
      <c r="B17" s="6" t="n">
        <v>2</v>
      </c>
      <c r="C17" s="6" t="n">
        <v>6</v>
      </c>
      <c r="D17" s="10" t="n">
        <f aca="false">IF(SUM(B17:C17)=0,"",B17/SUM(B17:C17))</f>
        <v>0.25</v>
      </c>
      <c r="E17" s="6" t="n">
        <v>0</v>
      </c>
      <c r="F17" s="6" t="n">
        <v>10</v>
      </c>
      <c r="G17" s="10" t="n">
        <f aca="false">IF(SUM(E17:F17)=0,"",E17/SUM(E17:F17))</f>
        <v>0</v>
      </c>
      <c r="H17" s="6" t="n">
        <v>0</v>
      </c>
      <c r="I17" s="6" t="n">
        <v>10</v>
      </c>
      <c r="J17" s="10" t="n">
        <f aca="false">IF(SUM(H17:I17)=0,"",H17/SUM(H17:I17))</f>
        <v>0</v>
      </c>
      <c r="K17" s="7"/>
    </row>
    <row r="18" customFormat="false" ht="15" hidden="false" customHeight="false" outlineLevel="0" collapsed="false">
      <c r="A18" s="8" t="n">
        <v>45572</v>
      </c>
      <c r="B18" s="6" t="n">
        <v>1</v>
      </c>
      <c r="C18" s="6" t="n">
        <v>4</v>
      </c>
      <c r="D18" s="10" t="n">
        <f aca="false">IF(SUM(B18:C18)=0,"",B18/SUM(B18:C18))</f>
        <v>0.2</v>
      </c>
      <c r="E18" s="6" t="n">
        <v>0</v>
      </c>
      <c r="F18" s="6" t="n">
        <v>5</v>
      </c>
      <c r="G18" s="10" t="n">
        <f aca="false">IF(SUM(E18:F18)=0,"",E18/SUM(E18:F18))</f>
        <v>0</v>
      </c>
      <c r="H18" s="6" t="n">
        <v>0</v>
      </c>
      <c r="I18" s="6" t="n">
        <v>6</v>
      </c>
      <c r="J18" s="10" t="n">
        <f aca="false">IF(SUM(H18:I18)=0,"",H18/SUM(H18:I18))</f>
        <v>0</v>
      </c>
      <c r="K18" s="7"/>
    </row>
    <row r="19" customFormat="false" ht="15" hidden="false" customHeight="false" outlineLevel="0" collapsed="false">
      <c r="A19" s="8" t="n">
        <v>45579</v>
      </c>
      <c r="B19" s="6" t="n">
        <v>2</v>
      </c>
      <c r="C19" s="6" t="n">
        <v>1</v>
      </c>
      <c r="D19" s="10" t="n">
        <f aca="false">IF(SUM(B19:C19)=0,"",B19/SUM(B19:C19))</f>
        <v>0.666666666666667</v>
      </c>
      <c r="E19" s="6" t="n">
        <v>0</v>
      </c>
      <c r="F19" s="6" t="n">
        <v>5</v>
      </c>
      <c r="G19" s="10" t="n">
        <f aca="false">IF(SUM(E19:F19)=0,"",E19/SUM(E19:F19))</f>
        <v>0</v>
      </c>
      <c r="H19" s="6" t="n">
        <v>0</v>
      </c>
      <c r="I19" s="6" t="n">
        <v>5</v>
      </c>
      <c r="J19" s="10" t="n">
        <f aca="false">IF(SUM(H19:I19)=0,"",H19/SUM(H19:I19))</f>
        <v>0</v>
      </c>
      <c r="K19" s="7"/>
    </row>
    <row r="20" customFormat="false" ht="15" hidden="false" customHeight="false" outlineLevel="0" collapsed="false">
      <c r="A20" s="8" t="n">
        <v>45586</v>
      </c>
      <c r="B20" s="6" t="n">
        <v>4</v>
      </c>
      <c r="C20" s="6" t="n">
        <v>6</v>
      </c>
      <c r="D20" s="10" t="n">
        <f aca="false">IF(SUM(B20:C20)=0,"",B20/SUM(B20:C20))</f>
        <v>0.4</v>
      </c>
      <c r="E20" s="6" t="n">
        <v>2</v>
      </c>
      <c r="F20" s="6" t="n">
        <v>11</v>
      </c>
      <c r="G20" s="10" t="n">
        <f aca="false">IF(SUM(E20:F20)=0,"",E20/SUM(E20:F20))</f>
        <v>0.153846153846154</v>
      </c>
      <c r="H20" s="6" t="n">
        <v>2</v>
      </c>
      <c r="I20" s="6" t="n">
        <v>10</v>
      </c>
      <c r="J20" s="10" t="n">
        <f aca="false">IF(SUM(H20:I20)=0,"",H20/SUM(H20:I20))</f>
        <v>0.166666666666667</v>
      </c>
      <c r="K20" s="7"/>
    </row>
    <row r="21" customFormat="false" ht="15" hidden="false" customHeight="false" outlineLevel="0" collapsed="false">
      <c r="A21" s="8" t="n">
        <v>45593</v>
      </c>
      <c r="B21" s="6" t="n">
        <v>2</v>
      </c>
      <c r="C21" s="6" t="n">
        <v>3</v>
      </c>
      <c r="D21" s="10" t="n">
        <f aca="false">IF(SUM(B21:C21)=0,"",B21/SUM(B21:C21))</f>
        <v>0.4</v>
      </c>
      <c r="E21" s="6" t="n">
        <v>0</v>
      </c>
      <c r="F21" s="6" t="n">
        <v>8</v>
      </c>
      <c r="G21" s="10" t="n">
        <f aca="false">IF(SUM(E21:F21)=0,"",E21/SUM(E21:F21))</f>
        <v>0</v>
      </c>
      <c r="H21" s="6" t="n">
        <v>0</v>
      </c>
      <c r="I21" s="6" t="n">
        <v>8</v>
      </c>
      <c r="J21" s="10" t="n">
        <f aca="false">IF(SUM(H21:I21)=0,"",H21/SUM(H21:I21))</f>
        <v>0</v>
      </c>
      <c r="K21" s="7"/>
    </row>
    <row r="22" customFormat="false" ht="15" hidden="false" customHeight="false" outlineLevel="0" collapsed="false">
      <c r="A22" s="8" t="n">
        <v>45600</v>
      </c>
      <c r="B22" s="6" t="n">
        <v>2</v>
      </c>
      <c r="C22" s="6" t="n">
        <v>4</v>
      </c>
      <c r="D22" s="10" t="n">
        <f aca="false">IF(SUM(B22:C22)=0,"",B22/SUM(B22:C22))</f>
        <v>0.333333333333333</v>
      </c>
      <c r="E22" s="6" t="n">
        <v>0</v>
      </c>
      <c r="F22" s="6" t="n">
        <v>14</v>
      </c>
      <c r="G22" s="10" t="n">
        <f aca="false">IF(SUM(E22:F22)=0,"",E22/SUM(E22:F22))</f>
        <v>0</v>
      </c>
      <c r="H22" s="6" t="n">
        <v>0</v>
      </c>
      <c r="I22" s="6" t="n">
        <v>14</v>
      </c>
      <c r="J22" s="10" t="n">
        <f aca="false">IF(SUM(H22:I22)=0,"",H22/SUM(H22:I22))</f>
        <v>0</v>
      </c>
      <c r="K22" s="7"/>
    </row>
    <row r="23" customFormat="false" ht="15" hidden="false" customHeight="false" outlineLevel="0" collapsed="false">
      <c r="A23" s="8" t="n">
        <v>45607</v>
      </c>
      <c r="B23" s="6" t="n">
        <v>1</v>
      </c>
      <c r="C23" s="6" t="n">
        <v>3</v>
      </c>
      <c r="D23" s="10" t="n">
        <f aca="false">IF(SUM(B23:C23)=0,"",B23/SUM(B23:C23))</f>
        <v>0.25</v>
      </c>
      <c r="E23" s="6" t="n">
        <v>0</v>
      </c>
      <c r="F23" s="6" t="n">
        <v>9</v>
      </c>
      <c r="G23" s="10" t="n">
        <f aca="false">IF(SUM(E23:F23)=0,"",E23/SUM(E23:F23))</f>
        <v>0</v>
      </c>
      <c r="H23" s="6" t="n">
        <v>0</v>
      </c>
      <c r="I23" s="6" t="n">
        <v>9</v>
      </c>
      <c r="J23" s="10" t="n">
        <f aca="false">IF(SUM(H23:I23)=0,"",H23/SUM(H23:I23))</f>
        <v>0</v>
      </c>
      <c r="K23" s="7"/>
    </row>
    <row r="24" customFormat="false" ht="15" hidden="false" customHeight="false" outlineLevel="0" collapsed="false">
      <c r="A24" s="8" t="n">
        <v>45614</v>
      </c>
      <c r="B24" s="6" t="n">
        <v>0</v>
      </c>
      <c r="C24" s="6" t="n">
        <v>1</v>
      </c>
      <c r="D24" s="10" t="n">
        <f aca="false">IF(SUM(B24:C24)=0,"",B24/SUM(B24:C24))</f>
        <v>0</v>
      </c>
      <c r="E24" s="6" t="n">
        <v>1</v>
      </c>
      <c r="F24" s="6" t="n">
        <v>11</v>
      </c>
      <c r="G24" s="10" t="n">
        <f aca="false">IF(SUM(E24:F24)=0,"",E24/SUM(E24:F24))</f>
        <v>0.0833333333333333</v>
      </c>
      <c r="H24" s="6" t="n">
        <v>0</v>
      </c>
      <c r="I24" s="6" t="n">
        <v>11</v>
      </c>
      <c r="J24" s="10" t="n">
        <f aca="false">IF(SUM(H24:I24)=0,"",H24/SUM(H24:I24))</f>
        <v>0</v>
      </c>
      <c r="K24" s="7"/>
    </row>
    <row r="25" customFormat="false" ht="15" hidden="false" customHeight="false" outlineLevel="0" collapsed="false">
      <c r="A25" s="8" t="n">
        <v>45621</v>
      </c>
      <c r="B25" s="6" t="n">
        <v>1</v>
      </c>
      <c r="C25" s="6" t="n">
        <v>6</v>
      </c>
      <c r="D25" s="10" t="n">
        <f aca="false">IF(SUM(B25:C25)=0,"",B25/SUM(B25:C25))</f>
        <v>0.142857142857143</v>
      </c>
      <c r="E25" s="6" t="n">
        <v>0</v>
      </c>
      <c r="F25" s="6" t="n">
        <v>13</v>
      </c>
      <c r="G25" s="10" t="n">
        <f aca="false">IF(SUM(E25:F25)=0,"",E25/SUM(E25:F25))</f>
        <v>0</v>
      </c>
      <c r="H25" s="6" t="n">
        <v>0</v>
      </c>
      <c r="I25" s="6" t="n">
        <v>12</v>
      </c>
      <c r="J25" s="10" t="n">
        <f aca="false">IF(SUM(H25:I25)=0,"",H25/SUM(H25:I25))</f>
        <v>0</v>
      </c>
      <c r="K25" s="7"/>
    </row>
    <row r="26" customFormat="false" ht="15" hidden="false" customHeight="false" outlineLevel="0" collapsed="false">
      <c r="A26" s="8" t="n">
        <v>45628</v>
      </c>
      <c r="B26" s="6" t="n">
        <v>3</v>
      </c>
      <c r="C26" s="6" t="n">
        <v>5</v>
      </c>
      <c r="D26" s="10" t="n">
        <f aca="false">IF(SUM(B26:C26)=0,"",B26/SUM(B26:C26))</f>
        <v>0.375</v>
      </c>
      <c r="E26" s="6" t="n">
        <v>4</v>
      </c>
      <c r="F26" s="6" t="n">
        <v>22</v>
      </c>
      <c r="G26" s="10" t="n">
        <f aca="false">IF(SUM(E26:F26)=0,"",E26/SUM(E26:F26))</f>
        <v>0.153846153846154</v>
      </c>
      <c r="H26" s="6" t="n">
        <v>0</v>
      </c>
      <c r="I26" s="6" t="n">
        <v>22</v>
      </c>
      <c r="J26" s="10" t="n">
        <f aca="false">IF(SUM(H26:I26)=0,"",H26/SUM(H26:I26))</f>
        <v>0</v>
      </c>
      <c r="K26" s="7"/>
    </row>
    <row r="27" customFormat="false" ht="15" hidden="false" customHeight="false" outlineLevel="0" collapsed="false">
      <c r="A27" s="8" t="n">
        <v>45635</v>
      </c>
      <c r="B27" s="6" t="n">
        <v>1</v>
      </c>
      <c r="C27" s="6" t="n">
        <v>7</v>
      </c>
      <c r="D27" s="10" t="n">
        <f aca="false">IF(SUM(B27:C27)=0,"",B27/SUM(B27:C27))</f>
        <v>0.125</v>
      </c>
      <c r="E27" s="6" t="n">
        <v>5</v>
      </c>
      <c r="F27" s="6" t="n">
        <v>17</v>
      </c>
      <c r="G27" s="10" t="n">
        <f aca="false">IF(SUM(E27:F27)=0,"",E27/SUM(E27:F27))</f>
        <v>0.227272727272727</v>
      </c>
      <c r="H27" s="6" t="n">
        <v>0</v>
      </c>
      <c r="I27" s="6" t="n">
        <v>17</v>
      </c>
      <c r="J27" s="10" t="n">
        <f aca="false">IF(SUM(H27:I27)=0,"",H27/SUM(H27:I27))</f>
        <v>0</v>
      </c>
      <c r="K27" s="7"/>
    </row>
    <row r="28" customFormat="false" ht="15" hidden="false" customHeight="false" outlineLevel="0" collapsed="false">
      <c r="A28" s="8" t="n">
        <v>45642</v>
      </c>
      <c r="B28" s="6" t="n">
        <v>5</v>
      </c>
      <c r="C28" s="6" t="n">
        <v>15</v>
      </c>
      <c r="D28" s="10" t="n">
        <f aca="false">IF(SUM(B28:C28)=0,"",B28/SUM(B28:C28))</f>
        <v>0.25</v>
      </c>
      <c r="E28" s="6" t="n">
        <v>11</v>
      </c>
      <c r="F28" s="6" t="n">
        <v>31</v>
      </c>
      <c r="G28" s="10" t="n">
        <f aca="false">IF(SUM(E28:F28)=0,"",E28/SUM(E28:F28))</f>
        <v>0.261904761904762</v>
      </c>
      <c r="H28" s="6" t="n">
        <v>0</v>
      </c>
      <c r="I28" s="6" t="n">
        <v>31</v>
      </c>
      <c r="J28" s="10" t="n">
        <f aca="false">IF(SUM(H28:I28)=0,"",H28/SUM(H28:I28))</f>
        <v>0</v>
      </c>
      <c r="K28" s="7"/>
    </row>
    <row r="29" customFormat="false" ht="15" hidden="false" customHeight="false" outlineLevel="0" collapsed="false">
      <c r="A29" s="8" t="n">
        <v>45649</v>
      </c>
      <c r="B29" s="6" t="n">
        <v>2</v>
      </c>
      <c r="C29" s="6" t="n">
        <v>22</v>
      </c>
      <c r="D29" s="10" t="n">
        <f aca="false">IF(SUM(B29:C29)=0,"",B29/SUM(B29:C29))</f>
        <v>0.0833333333333333</v>
      </c>
      <c r="E29" s="6" t="n">
        <v>19</v>
      </c>
      <c r="F29" s="6" t="n">
        <v>42</v>
      </c>
      <c r="G29" s="10" t="n">
        <f aca="false">IF(SUM(E29:F29)=0,"",E29/SUM(E29:F29))</f>
        <v>0.311475409836066</v>
      </c>
      <c r="H29" s="6" t="n">
        <v>4</v>
      </c>
      <c r="I29" s="6" t="n">
        <v>36</v>
      </c>
      <c r="J29" s="10" t="n">
        <f aca="false">IF(SUM(H29:I29)=0,"",H29/SUM(H29:I29))</f>
        <v>0.1</v>
      </c>
      <c r="K29" s="7"/>
    </row>
    <row r="30" customFormat="false" ht="15" hidden="false" customHeight="false" outlineLevel="0" collapsed="false">
      <c r="A30" s="8" t="n">
        <v>45656</v>
      </c>
      <c r="B30" s="6" t="n">
        <v>4</v>
      </c>
      <c r="C30" s="6" t="n">
        <v>32</v>
      </c>
      <c r="D30" s="10" t="n">
        <f aca="false">IF(SUM(B30:C30)=0,"",B30/SUM(B30:C30))</f>
        <v>0.111111111111111</v>
      </c>
      <c r="E30" s="6" t="n">
        <v>33</v>
      </c>
      <c r="F30" s="6" t="n">
        <v>61</v>
      </c>
      <c r="G30" s="10" t="n">
        <f aca="false">IF(SUM(E30:F30)=0,"",E30/SUM(E30:F30))</f>
        <v>0.351063829787234</v>
      </c>
      <c r="H30" s="6" t="n">
        <v>4</v>
      </c>
      <c r="I30" s="6" t="n">
        <v>57</v>
      </c>
      <c r="J30" s="10" t="n">
        <f aca="false">IF(SUM(H30:I30)=0,"",H30/SUM(H30:I30))</f>
        <v>0.0655737704918033</v>
      </c>
      <c r="K30" s="7"/>
    </row>
    <row r="31" customFormat="false" ht="15" hidden="false" customHeight="false" outlineLevel="0" collapsed="false">
      <c r="A31" s="8" t="n">
        <v>45663</v>
      </c>
      <c r="B31" s="6" t="n">
        <v>3</v>
      </c>
      <c r="C31" s="6" t="n">
        <v>14</v>
      </c>
      <c r="D31" s="10" t="n">
        <f aca="false">IF(SUM(B31:C31)=0,"",B31/SUM(B31:C31))</f>
        <v>0.176470588235294</v>
      </c>
      <c r="E31" s="6" t="n">
        <v>16</v>
      </c>
      <c r="F31" s="6" t="n">
        <v>36</v>
      </c>
      <c r="G31" s="10" t="n">
        <f aca="false">IF(SUM(E31:F31)=0,"",E31/SUM(E31:F31))</f>
        <v>0.307692307692308</v>
      </c>
      <c r="H31" s="6" t="n">
        <v>1</v>
      </c>
      <c r="I31" s="6" t="n">
        <v>35</v>
      </c>
      <c r="J31" s="10" t="n">
        <f aca="false">IF(SUM(H31:I31)=0,"",H31/SUM(H31:I31))</f>
        <v>0.0277777777777778</v>
      </c>
      <c r="K31" s="7"/>
    </row>
    <row r="32" customFormat="false" ht="15" hidden="false" customHeight="false" outlineLevel="0" collapsed="false">
      <c r="A32" s="8" t="n">
        <v>45670</v>
      </c>
      <c r="B32" s="6" t="n">
        <v>5</v>
      </c>
      <c r="C32" s="6" t="n">
        <v>15</v>
      </c>
      <c r="D32" s="10" t="n">
        <f aca="false">IF(SUM(B32:C32)=0,"",B32/SUM(B32:C32))</f>
        <v>0.25</v>
      </c>
      <c r="E32" s="6" t="n">
        <v>11</v>
      </c>
      <c r="F32" s="6" t="n">
        <v>27</v>
      </c>
      <c r="G32" s="10" t="n">
        <f aca="false">IF(SUM(E32:F32)=0,"",E32/SUM(E32:F32))</f>
        <v>0.289473684210526</v>
      </c>
      <c r="H32" s="6" t="n">
        <v>1</v>
      </c>
      <c r="I32" s="6" t="n">
        <v>28</v>
      </c>
      <c r="J32" s="10" t="n">
        <f aca="false">IF(SUM(H32:I32)=0,"",H32/SUM(H32:I32))</f>
        <v>0.0344827586206897</v>
      </c>
      <c r="K32" s="7"/>
    </row>
    <row r="33" customFormat="false" ht="15" hidden="false" customHeight="false" outlineLevel="0" collapsed="false">
      <c r="A33" s="8" t="n">
        <v>45677</v>
      </c>
      <c r="B33" s="6" t="n">
        <v>4</v>
      </c>
      <c r="C33" s="6" t="n">
        <v>14</v>
      </c>
      <c r="D33" s="10" t="n">
        <f aca="false">IF(SUM(B33:C33)=0,"",B33/SUM(B33:C33))</f>
        <v>0.222222222222222</v>
      </c>
      <c r="E33" s="6" t="n">
        <v>11</v>
      </c>
      <c r="F33" s="6" t="n">
        <v>29</v>
      </c>
      <c r="G33" s="10" t="n">
        <f aca="false">IF(SUM(E33:F33)=0,"",E33/SUM(E33:F33))</f>
        <v>0.275</v>
      </c>
      <c r="H33" s="6" t="n">
        <v>6</v>
      </c>
      <c r="I33" s="6" t="n">
        <v>25</v>
      </c>
      <c r="J33" s="10" t="n">
        <f aca="false">IF(SUM(H33:I33)=0,"",H33/SUM(H33:I33))</f>
        <v>0.193548387096774</v>
      </c>
      <c r="K33" s="7"/>
    </row>
    <row r="34" customFormat="false" ht="15" hidden="false" customHeight="false" outlineLevel="0" collapsed="false">
      <c r="A34" s="8" t="n">
        <v>45684</v>
      </c>
      <c r="B34" s="6" t="n">
        <v>1</v>
      </c>
      <c r="C34" s="6" t="n">
        <v>20</v>
      </c>
      <c r="D34" s="10" t="n">
        <f aca="false">IF(SUM(B34:C34)=0,"",B34/SUM(B34:C34))</f>
        <v>0.0476190476190476</v>
      </c>
      <c r="E34" s="6" t="n">
        <v>19</v>
      </c>
      <c r="F34" s="6" t="n">
        <v>44</v>
      </c>
      <c r="G34" s="10" t="n">
        <f aca="false">IF(SUM(E34:F34)=0,"",E34/SUM(E34:F34))</f>
        <v>0.301587301587302</v>
      </c>
      <c r="H34" s="6" t="n">
        <v>12</v>
      </c>
      <c r="I34" s="6" t="n">
        <v>39</v>
      </c>
      <c r="J34" s="10" t="n">
        <f aca="false">IF(SUM(H34:I34)=0,"",H34/SUM(H34:I34))</f>
        <v>0.235294117647059</v>
      </c>
      <c r="K34" s="7"/>
    </row>
    <row r="35" customFormat="false" ht="15" hidden="false" customHeight="false" outlineLevel="0" collapsed="false">
      <c r="A35" s="8" t="n">
        <v>45691</v>
      </c>
      <c r="B35" s="6" t="n">
        <v>4</v>
      </c>
      <c r="C35" s="6" t="n">
        <v>23</v>
      </c>
      <c r="D35" s="10" t="n">
        <f aca="false">IF(SUM(B35:C35)=0,"",B35/SUM(B35:C35))</f>
        <v>0.148148148148148</v>
      </c>
      <c r="E35" s="6" t="n">
        <v>22</v>
      </c>
      <c r="F35" s="6" t="n">
        <v>46</v>
      </c>
      <c r="G35" s="10" t="n">
        <f aca="false">IF(SUM(E35:F35)=0,"",E35/SUM(E35:F35))</f>
        <v>0.323529411764706</v>
      </c>
      <c r="H35" s="6" t="n">
        <v>7</v>
      </c>
      <c r="I35" s="6" t="n">
        <v>41</v>
      </c>
      <c r="J35" s="10" t="n">
        <f aca="false">IF(SUM(H35:I35)=0,"",H35/SUM(H35:I35))</f>
        <v>0.145833333333333</v>
      </c>
      <c r="K35" s="7"/>
    </row>
    <row r="36" customFormat="false" ht="15" hidden="false" customHeight="false" outlineLevel="0" collapsed="false">
      <c r="A36" s="8" t="n">
        <v>45698</v>
      </c>
      <c r="B36" s="6" t="n">
        <v>0</v>
      </c>
      <c r="C36" s="6" t="n">
        <v>15</v>
      </c>
      <c r="D36" s="10" t="n">
        <f aca="false">IF(SUM(B36:C36)=0,"",B36/SUM(B36:C36))</f>
        <v>0</v>
      </c>
      <c r="E36" s="6" t="n">
        <v>13</v>
      </c>
      <c r="F36" s="6" t="n">
        <v>31</v>
      </c>
      <c r="G36" s="10" t="n">
        <f aca="false">IF(SUM(E36:F36)=0,"",E36/SUM(E36:F36))</f>
        <v>0.295454545454545</v>
      </c>
      <c r="H36" s="6" t="n">
        <v>2</v>
      </c>
      <c r="I36" s="6" t="n">
        <v>29</v>
      </c>
      <c r="J36" s="10" t="n">
        <f aca="false">IF(SUM(H36:I36)=0,"",H36/SUM(H36:I36))</f>
        <v>0.0645161290322581</v>
      </c>
      <c r="K36" s="7"/>
    </row>
    <row r="37" customFormat="false" ht="15" hidden="false" customHeight="false" outlineLevel="0" collapsed="false">
      <c r="A37" s="8" t="n">
        <v>45705</v>
      </c>
      <c r="B37" s="6" t="n">
        <v>0</v>
      </c>
      <c r="C37" s="6" t="n">
        <v>19</v>
      </c>
      <c r="D37" s="10" t="n">
        <f aca="false">IF(SUM(B37:C37)=0,"",B37/SUM(B37:C37))</f>
        <v>0</v>
      </c>
      <c r="E37" s="6" t="n">
        <v>8</v>
      </c>
      <c r="F37" s="6" t="n">
        <v>38</v>
      </c>
      <c r="G37" s="10" t="n">
        <f aca="false">IF(SUM(E37:F37)=0,"",E37/SUM(E37:F37))</f>
        <v>0.173913043478261</v>
      </c>
      <c r="H37" s="6" t="n">
        <v>11</v>
      </c>
      <c r="I37" s="6" t="n">
        <v>31</v>
      </c>
      <c r="J37" s="10" t="n">
        <f aca="false">IF(SUM(H37:I37)=0,"",H37/SUM(H37:I37))</f>
        <v>0.261904761904762</v>
      </c>
      <c r="K37" s="7"/>
    </row>
    <row r="38" customFormat="false" ht="15" hidden="false" customHeight="false" outlineLevel="0" collapsed="false">
      <c r="A38" s="8" t="n">
        <v>45712</v>
      </c>
      <c r="B38" s="6" t="n">
        <v>2</v>
      </c>
      <c r="C38" s="6" t="n">
        <v>9</v>
      </c>
      <c r="D38" s="10" t="n">
        <f aca="false">IF(SUM(B38:C38)=0,"",B38/SUM(B38:C38))</f>
        <v>0.181818181818182</v>
      </c>
      <c r="E38" s="6" t="n">
        <v>8</v>
      </c>
      <c r="F38" s="6" t="n">
        <v>22</v>
      </c>
      <c r="G38" s="10" t="n">
        <f aca="false">IF(SUM(E38:F38)=0,"",E38/SUM(E38:F38))</f>
        <v>0.266666666666667</v>
      </c>
      <c r="H38" s="6" t="n">
        <v>3</v>
      </c>
      <c r="I38" s="6" t="n">
        <v>20</v>
      </c>
      <c r="J38" s="10" t="n">
        <f aca="false">IF(SUM(H38:I38)=0,"",H38/SUM(H38:I38))</f>
        <v>0.130434782608696</v>
      </c>
      <c r="K38" s="7"/>
    </row>
    <row r="39" customFormat="false" ht="15" hidden="false" customHeight="false" outlineLevel="0" collapsed="false">
      <c r="A39" s="8" t="n">
        <v>45719</v>
      </c>
      <c r="B39" s="6" t="n">
        <v>1</v>
      </c>
      <c r="C39" s="6" t="n">
        <v>13</v>
      </c>
      <c r="D39" s="10" t="n">
        <f aca="false">IF(SUM(B39:C39)=0,"",B39/SUM(B39:C39))</f>
        <v>0.0714285714285714</v>
      </c>
      <c r="E39" s="6" t="n">
        <v>2</v>
      </c>
      <c r="F39" s="6" t="n">
        <v>33</v>
      </c>
      <c r="G39" s="10" t="n">
        <f aca="false">IF(SUM(E39:F39)=0,"",E39/SUM(E39:F39))</f>
        <v>0.0571428571428571</v>
      </c>
      <c r="H39" s="6" t="n">
        <v>8</v>
      </c>
      <c r="I39" s="6" t="n">
        <v>30</v>
      </c>
      <c r="J39" s="10" t="n">
        <f aca="false">IF(SUM(H39:I39)=0,"",H39/SUM(H39:I39))</f>
        <v>0.210526315789474</v>
      </c>
      <c r="K39" s="7"/>
    </row>
    <row r="40" customFormat="false" ht="15" hidden="false" customHeight="false" outlineLevel="0" collapsed="false">
      <c r="A40" s="8" t="n">
        <v>45726</v>
      </c>
      <c r="B40" s="6" t="n">
        <v>1</v>
      </c>
      <c r="C40" s="6" t="n">
        <v>11</v>
      </c>
      <c r="D40" s="10" t="n">
        <f aca="false">IF(SUM(B40:C40)=0,"",B40/SUM(B40:C40))</f>
        <v>0.0833333333333333</v>
      </c>
      <c r="E40" s="6" t="n">
        <v>6</v>
      </c>
      <c r="F40" s="6" t="n">
        <v>20</v>
      </c>
      <c r="G40" s="10" t="n">
        <f aca="false">IF(SUM(E40:F40)=0,"",E40/SUM(E40:F40))</f>
        <v>0.230769230769231</v>
      </c>
      <c r="H40" s="6" t="n">
        <v>2</v>
      </c>
      <c r="I40" s="6" t="n">
        <v>18</v>
      </c>
      <c r="J40" s="10" t="n">
        <f aca="false">IF(SUM(H40:I40)=0,"",H40/SUM(H40:I40))</f>
        <v>0.1</v>
      </c>
      <c r="K40" s="7"/>
    </row>
    <row r="41" customFormat="false" ht="15" hidden="false" customHeight="false" outlineLevel="0" collapsed="false">
      <c r="A41" s="8" t="n">
        <v>45733</v>
      </c>
      <c r="B41" s="6" t="n">
        <v>1</v>
      </c>
      <c r="C41" s="6" t="n">
        <v>11</v>
      </c>
      <c r="D41" s="10" t="n">
        <f aca="false">IF(SUM(B41:C41)=0,"",B41/SUM(B41:C41))</f>
        <v>0.0833333333333333</v>
      </c>
      <c r="E41" s="6" t="n">
        <v>5</v>
      </c>
      <c r="F41" s="6" t="n">
        <v>24</v>
      </c>
      <c r="G41" s="10" t="n">
        <f aca="false">IF(SUM(E41:F41)=0,"",E41/SUM(E41:F41))</f>
        <v>0.172413793103448</v>
      </c>
      <c r="H41" s="6" t="n">
        <v>2</v>
      </c>
      <c r="I41" s="6" t="n">
        <v>20</v>
      </c>
      <c r="J41" s="10" t="n">
        <f aca="false">IF(SUM(H41:I41)=0,"",H41/SUM(H41:I41))</f>
        <v>0.0909090909090909</v>
      </c>
      <c r="K41" s="7"/>
    </row>
    <row r="42" customFormat="false" ht="15" hidden="false" customHeight="false" outlineLevel="0" collapsed="false">
      <c r="A42" s="8" t="n">
        <v>45740</v>
      </c>
      <c r="B42" s="6" t="n">
        <v>4</v>
      </c>
      <c r="C42" s="6" t="n">
        <v>11</v>
      </c>
      <c r="D42" s="10" t="n">
        <f aca="false">IF(SUM(B42:C42)=0,"",B42/SUM(B42:C42))</f>
        <v>0.266666666666667</v>
      </c>
      <c r="E42" s="6" t="n">
        <v>3</v>
      </c>
      <c r="F42" s="6" t="n">
        <v>30</v>
      </c>
      <c r="G42" s="10" t="n">
        <f aca="false">IF(SUM(E42:F42)=0,"",E42/SUM(E42:F42))</f>
        <v>0.0909090909090909</v>
      </c>
      <c r="H42" s="6" t="n">
        <v>0</v>
      </c>
      <c r="I42" s="6" t="n">
        <v>30</v>
      </c>
      <c r="J42" s="10" t="n">
        <f aca="false">IF(SUM(H42:I42)=0,"",H42/SUM(H42:I42))</f>
        <v>0</v>
      </c>
      <c r="K42" s="7"/>
    </row>
    <row r="43" customFormat="false" ht="15" hidden="false" customHeight="false" outlineLevel="0" collapsed="false">
      <c r="A43" s="8" t="n">
        <v>45901</v>
      </c>
      <c r="B43" s="6" t="n">
        <v>3</v>
      </c>
      <c r="C43" s="6" t="n">
        <v>6</v>
      </c>
      <c r="D43" s="10" t="n">
        <f aca="false">IF(SUM(B43:C43)=0,"",B43/SUM(B43:C43))</f>
        <v>0.333333333333333</v>
      </c>
      <c r="E43" s="6" t="n">
        <v>0</v>
      </c>
      <c r="F43" s="6" t="n">
        <v>10</v>
      </c>
      <c r="G43" s="10" t="n">
        <f aca="false">IF(SUM(E43:F43)=0,"",E43/SUM(E43:F43))</f>
        <v>0</v>
      </c>
      <c r="H43" s="6" t="n">
        <v>0</v>
      </c>
      <c r="I43" s="6" t="n">
        <v>10</v>
      </c>
      <c r="J43" s="10" t="n">
        <f aca="false">IF(SUM(H43:I43)=0,"",H43/SUM(H43:I43))</f>
        <v>0</v>
      </c>
      <c r="K43" s="7"/>
    </row>
    <row r="44" customFormat="false" ht="15" hidden="false" customHeight="false" outlineLevel="0" collapsed="false">
      <c r="A44" s="8" t="n">
        <v>45908</v>
      </c>
      <c r="B44" s="6" t="n">
        <v>3</v>
      </c>
      <c r="C44" s="6" t="n">
        <v>1</v>
      </c>
      <c r="D44" s="10" t="n">
        <f aca="false">IF(SUM(B44:C44)=0,"",B44/SUM(B44:C44))</f>
        <v>0.75</v>
      </c>
      <c r="E44" s="6" t="n">
        <v>0</v>
      </c>
      <c r="F44" s="6" t="n">
        <v>5</v>
      </c>
      <c r="G44" s="10" t="n">
        <f aca="false">IF(SUM(E44:F44)=0,"",E44/SUM(E44:F44))</f>
        <v>0</v>
      </c>
      <c r="H44" s="6" t="n">
        <v>0</v>
      </c>
      <c r="I44" s="6" t="n">
        <v>5</v>
      </c>
      <c r="J44" s="10" t="n">
        <f aca="false">IF(SUM(H44:I44)=0,"",H44/SUM(H44:I44))</f>
        <v>0</v>
      </c>
      <c r="K44" s="7"/>
    </row>
    <row r="45" customFormat="false" ht="15" hidden="false" customHeight="false" outlineLevel="0" collapsed="false">
      <c r="A45" s="8" t="n">
        <v>45915</v>
      </c>
      <c r="B45" s="6" t="n">
        <v>3</v>
      </c>
      <c r="C45" s="6" t="n">
        <v>7</v>
      </c>
      <c r="D45" s="10" t="n">
        <f aca="false">IF(SUM(B45:C45)=0,"",B45/SUM(B45:C45))</f>
        <v>0.3</v>
      </c>
      <c r="E45" s="6" t="n">
        <v>0</v>
      </c>
      <c r="F45" s="6" t="n">
        <v>13</v>
      </c>
      <c r="G45" s="10" t="n">
        <f aca="false">IF(SUM(E45:F45)=0,"",E45/SUM(E45:F45))</f>
        <v>0</v>
      </c>
      <c r="H45" s="6" t="n">
        <v>0</v>
      </c>
      <c r="I45" s="6" t="n">
        <v>12</v>
      </c>
      <c r="J45" s="10" t="n">
        <f aca="false">IF(SUM(H45:I45)=0,"",H45/SUM(H45:I45))</f>
        <v>0</v>
      </c>
      <c r="K45" s="7"/>
    </row>
    <row r="46" customFormat="false" ht="15" hidden="false" customHeight="false" outlineLevel="0" collapsed="false">
      <c r="A46" s="8" t="n">
        <v>45922</v>
      </c>
      <c r="B46" s="6" t="n">
        <v>2</v>
      </c>
      <c r="C46" s="6" t="n">
        <v>6</v>
      </c>
      <c r="D46" s="10" t="n">
        <f aca="false">IF(SUM(B46:C46)=0,"",B46/SUM(B46:C46))</f>
        <v>0.25</v>
      </c>
      <c r="E46" s="6" t="n">
        <v>0</v>
      </c>
      <c r="F46" s="6" t="n">
        <v>13</v>
      </c>
      <c r="G46" s="10" t="n">
        <f aca="false">IF(SUM(E46:F46)=0,"",E46/SUM(E46:F46))</f>
        <v>0</v>
      </c>
      <c r="H46" s="6" t="n">
        <v>0</v>
      </c>
      <c r="I46" s="6" t="n">
        <v>13</v>
      </c>
      <c r="J46" s="10" t="n">
        <f aca="false">IF(SUM(H46:I46)=0,"",H46/SUM(H46:I46))</f>
        <v>0</v>
      </c>
      <c r="K46" s="7"/>
    </row>
    <row r="47" customFormat="false" ht="15" hidden="false" customHeight="false" outlineLevel="0" collapsed="false">
      <c r="A47" s="8" t="n">
        <v>45929</v>
      </c>
      <c r="B47" s="6" t="n">
        <v>2</v>
      </c>
      <c r="C47" s="6" t="n">
        <v>7</v>
      </c>
      <c r="D47" s="10" t="n">
        <f aca="false">IF(SUM(B47:C47)=0,"",B47/SUM(B47:C47))</f>
        <v>0.222222222222222</v>
      </c>
      <c r="E47" s="6" t="n">
        <v>0</v>
      </c>
      <c r="F47" s="6" t="n">
        <v>12</v>
      </c>
      <c r="G47" s="10" t="n">
        <f aca="false">IF(SUM(E47:F47)=0,"",E47/SUM(E47:F47))</f>
        <v>0</v>
      </c>
      <c r="H47" s="6" t="n">
        <v>0</v>
      </c>
      <c r="I47" s="6" t="n">
        <v>12</v>
      </c>
      <c r="J47" s="10" t="n">
        <f aca="false">IF(SUM(H47:I47)=0,"",H47/SUM(H47:I47))</f>
        <v>0</v>
      </c>
      <c r="K47" s="7"/>
    </row>
    <row r="48" customFormat="false" ht="15" hidden="false" customHeight="false" outlineLevel="0" collapsed="false">
      <c r="A48" s="8" t="n">
        <v>45936</v>
      </c>
      <c r="B48" s="6" t="n">
        <v>1</v>
      </c>
      <c r="C48" s="6" t="n">
        <v>4</v>
      </c>
      <c r="D48" s="10" t="n">
        <f aca="false">IF(SUM(B48:C48)=0,"",B48/SUM(B48:C48))</f>
        <v>0.2</v>
      </c>
      <c r="E48" s="6" t="n">
        <v>0</v>
      </c>
      <c r="F48" s="6" t="n">
        <v>6</v>
      </c>
      <c r="G48" s="10" t="n">
        <f aca="false">IF(SUM(E48:F48)=0,"",E48/SUM(E48:F48))</f>
        <v>0</v>
      </c>
      <c r="H48" s="6" t="n">
        <v>0</v>
      </c>
      <c r="I48" s="6" t="n">
        <v>6</v>
      </c>
      <c r="J48" s="10" t="n">
        <f aca="false">IF(SUM(H48:I48)=0,"",H48/SUM(H48:I48))</f>
        <v>0</v>
      </c>
      <c r="K48" s="7"/>
    </row>
    <row r="49" customFormat="false" ht="15" hidden="false" customHeight="false" outlineLevel="0" collapsed="false">
      <c r="A49" s="8" t="n">
        <v>45943</v>
      </c>
      <c r="B49" s="6" t="n">
        <v>0</v>
      </c>
      <c r="C49" s="6" t="n">
        <v>2</v>
      </c>
      <c r="D49" s="10" t="n">
        <f aca="false">IF(SUM(B49:C49)=0,"",B49/SUM(B49:C49))</f>
        <v>0</v>
      </c>
      <c r="E49" s="6" t="n">
        <v>0</v>
      </c>
      <c r="F49" s="6" t="n">
        <v>0</v>
      </c>
      <c r="G49" s="10" t="str">
        <f aca="false">IF(SUM(E49:F49)=0,"",E49/SUM(E49:F49))</f>
        <v/>
      </c>
      <c r="H49" s="6" t="n">
        <v>0</v>
      </c>
      <c r="I49" s="6" t="n">
        <v>0</v>
      </c>
      <c r="J49" s="10" t="str">
        <f aca="false">IF(SUM(H49:I49)=0,"",H49/SUM(H49:I49))</f>
        <v/>
      </c>
      <c r="K49" s="7"/>
    </row>
    <row r="50" customFormat="false" ht="15" hidden="false" customHeight="false" outlineLevel="0" collapsed="false">
      <c r="A50" s="8" t="n">
        <v>45950</v>
      </c>
      <c r="B50" s="6" t="n">
        <v>0</v>
      </c>
      <c r="C50" s="6" t="n">
        <v>6</v>
      </c>
      <c r="D50" s="10" t="n">
        <f aca="false">IF(SUM(B50:C50)=0,"",B50/SUM(B50:C50))</f>
        <v>0</v>
      </c>
      <c r="E50" s="6" t="n">
        <v>0</v>
      </c>
      <c r="F50" s="6" t="n">
        <v>9</v>
      </c>
      <c r="G50" s="10" t="n">
        <f aca="false">IF(SUM(E50:F50)=0,"",E50/SUM(E50:F50))</f>
        <v>0</v>
      </c>
      <c r="H50" s="6" t="n">
        <v>0</v>
      </c>
      <c r="I50" s="6" t="n">
        <v>8</v>
      </c>
      <c r="J50" s="10" t="n">
        <f aca="false">IF(SUM(H50:I50)=0,"",H50/SUM(H50:I50))</f>
        <v>0</v>
      </c>
      <c r="K50" s="7"/>
    </row>
    <row r="51" customFormat="false" ht="15" hidden="false" customHeight="false" outlineLevel="0" collapsed="false">
      <c r="A51" s="8" t="n">
        <v>45957</v>
      </c>
      <c r="B51" s="6" t="n">
        <v>0</v>
      </c>
      <c r="C51" s="6" t="n">
        <v>2</v>
      </c>
      <c r="D51" s="10" t="n">
        <f aca="false">IF(SUM(B51:C51)=0,"",B51/SUM(B51:C51))</f>
        <v>0</v>
      </c>
      <c r="E51" s="6" t="n">
        <v>0</v>
      </c>
      <c r="F51" s="6" t="n">
        <v>10</v>
      </c>
      <c r="G51" s="10" t="n">
        <f aca="false">IF(SUM(E51:F51)=0,"",E51/SUM(E51:F51))</f>
        <v>0</v>
      </c>
      <c r="H51" s="6" t="n">
        <v>0</v>
      </c>
      <c r="I51" s="6" t="n">
        <v>11</v>
      </c>
      <c r="J51" s="10" t="n">
        <f aca="false">IF(SUM(H51:I51)=0,"",H51/SUM(H51:I51))</f>
        <v>0</v>
      </c>
      <c r="K51" s="7"/>
    </row>
    <row r="52" customFormat="false" ht="15" hidden="false" customHeight="false" outlineLevel="0" collapsed="false">
      <c r="A52" s="8" t="n">
        <v>45964</v>
      </c>
      <c r="B52" s="6" t="n">
        <v>2</v>
      </c>
      <c r="C52" s="6" t="n">
        <v>4</v>
      </c>
      <c r="D52" s="10" t="n">
        <f aca="false">IF(SUM(B52:C52)=0,"",B52/SUM(B52:C52))</f>
        <v>0.333333333333333</v>
      </c>
      <c r="E52" s="6" t="n">
        <v>0</v>
      </c>
      <c r="F52" s="6" t="n">
        <v>9</v>
      </c>
      <c r="G52" s="10" t="n">
        <f aca="false">IF(SUM(E52:F52)=0,"",E52/SUM(E52:F52))</f>
        <v>0</v>
      </c>
      <c r="H52" s="6" t="n">
        <v>0</v>
      </c>
      <c r="I52" s="6" t="n">
        <v>10</v>
      </c>
      <c r="J52" s="10" t="n">
        <f aca="false">IF(SUM(H52:I52)=0,"",H52/SUM(H52:I52))</f>
        <v>0</v>
      </c>
      <c r="K52" s="7"/>
    </row>
    <row r="53" customFormat="false" ht="15" hidden="false" customHeight="false" outlineLevel="0" collapsed="false">
      <c r="A53" s="8" t="n">
        <v>45971</v>
      </c>
      <c r="B53" s="6" t="n">
        <v>2</v>
      </c>
      <c r="C53" s="6" t="n">
        <v>4</v>
      </c>
      <c r="D53" s="10" t="n">
        <f aca="false">IF(SUM(B53:C53)=0,"",B53/SUM(B53:C53))</f>
        <v>0.333333333333333</v>
      </c>
      <c r="E53" s="6" t="n">
        <v>0</v>
      </c>
      <c r="F53" s="6" t="n">
        <v>12</v>
      </c>
      <c r="G53" s="10" t="n">
        <f aca="false">IF(SUM(E53:F53)=0,"",E53/SUM(E53:F53))</f>
        <v>0</v>
      </c>
      <c r="H53" s="6" t="n">
        <v>0</v>
      </c>
      <c r="I53" s="6" t="n">
        <v>14</v>
      </c>
      <c r="J53" s="10" t="n">
        <f aca="false">IF(SUM(H53:I53)=0,"",H53/SUM(H53:I53))</f>
        <v>0</v>
      </c>
      <c r="K53" s="7"/>
    </row>
    <row r="54" customFormat="false" ht="15" hidden="false" customHeight="false" outlineLevel="0" collapsed="false">
      <c r="A54" s="8" t="n">
        <v>45978</v>
      </c>
      <c r="B54" s="6" t="n">
        <v>0</v>
      </c>
      <c r="C54" s="6" t="n">
        <v>2</v>
      </c>
      <c r="D54" s="10" t="n">
        <f aca="false">IF(SUM(B54:C54)=0,"",B54/SUM(B54:C54))</f>
        <v>0</v>
      </c>
      <c r="E54" s="6" t="n">
        <v>1</v>
      </c>
      <c r="F54" s="6" t="n">
        <v>4</v>
      </c>
      <c r="G54" s="10" t="n">
        <f aca="false">IF(SUM(E54:F54)=0,"",E54/SUM(E54:F54))</f>
        <v>0.2</v>
      </c>
      <c r="H54" s="6" t="n">
        <v>0</v>
      </c>
      <c r="I54" s="6" t="n">
        <v>5</v>
      </c>
      <c r="J54" s="10" t="n">
        <f aca="false">IF(SUM(H54:I54)=0,"",H54/SUM(H54:I54))</f>
        <v>0</v>
      </c>
      <c r="K54" s="7"/>
    </row>
    <row r="55" customFormat="false" ht="15" hidden="false" customHeight="false" outlineLevel="0" collapsed="false">
      <c r="A55" s="8" t="n">
        <v>45985</v>
      </c>
      <c r="B55" s="6" t="n">
        <v>3</v>
      </c>
      <c r="C55" s="6" t="n">
        <v>5</v>
      </c>
      <c r="D55" s="10" t="n">
        <f aca="false">IF(SUM(B55:C55)=0,"",B55/SUM(B55:C55))</f>
        <v>0.375</v>
      </c>
      <c r="E55" s="6" t="n">
        <v>0</v>
      </c>
      <c r="F55" s="6" t="n">
        <v>15</v>
      </c>
      <c r="G55" s="10" t="n">
        <f aca="false">IF(SUM(E55:F55)=0,"",E55/SUM(E55:F55))</f>
        <v>0</v>
      </c>
      <c r="H55" s="6" t="n">
        <v>0</v>
      </c>
      <c r="I55" s="6" t="n">
        <v>15</v>
      </c>
      <c r="J55" s="10" t="n">
        <f aca="false">IF(SUM(H55:I55)=0,"",H55/SUM(H55:I55))</f>
        <v>0</v>
      </c>
      <c r="K55" s="7"/>
    </row>
    <row r="56" customFormat="false" ht="15" hidden="false" customHeight="false" outlineLevel="0" collapsed="false">
      <c r="A56" s="8" t="n">
        <v>45992</v>
      </c>
      <c r="B56" s="6" t="n">
        <v>5</v>
      </c>
      <c r="C56" s="6" t="n">
        <v>11</v>
      </c>
      <c r="D56" s="10" t="n">
        <f aca="false">IF(SUM(B56:C56)=0,"",B56/SUM(B56:C56))</f>
        <v>0.3125</v>
      </c>
      <c r="E56" s="6" t="n">
        <v>1</v>
      </c>
      <c r="F56" s="6" t="n">
        <v>14</v>
      </c>
      <c r="G56" s="10" t="n">
        <f aca="false">IF(SUM(E56:F56)=0,"",E56/SUM(E56:F56))</f>
        <v>0.0666666666666667</v>
      </c>
      <c r="H56" s="6" t="n">
        <v>0</v>
      </c>
      <c r="I56" s="6" t="n">
        <v>15</v>
      </c>
      <c r="J56" s="10" t="n">
        <f aca="false">IF(SUM(H56:I56)=0,"",H56/SUM(H56:I56))</f>
        <v>0</v>
      </c>
      <c r="K56" s="7"/>
    </row>
    <row r="57" customFormat="false" ht="15" hidden="false" customHeight="false" outlineLevel="0" collapsed="false">
      <c r="A57" s="8" t="n">
        <v>45999</v>
      </c>
      <c r="B57" s="6" t="n">
        <v>0</v>
      </c>
      <c r="C57" s="6" t="n">
        <v>4</v>
      </c>
      <c r="D57" s="10" t="n">
        <f aca="false">IF(SUM(B57:C57)=0,"",B57/SUM(B57:C57))</f>
        <v>0</v>
      </c>
      <c r="E57" s="6" t="n">
        <v>3</v>
      </c>
      <c r="F57" s="6" t="n">
        <v>10</v>
      </c>
      <c r="G57" s="10" t="n">
        <f aca="false">IF(SUM(E57:F57)=0,"",E57/SUM(E57:F57))</f>
        <v>0.230769230769231</v>
      </c>
      <c r="H57" s="6" t="n">
        <v>1</v>
      </c>
      <c r="I57" s="6" t="n">
        <v>9</v>
      </c>
      <c r="J57" s="10" t="n">
        <f aca="false">IF(SUM(H57:I57)=0,"",H57/SUM(H57:I57))</f>
        <v>0.1</v>
      </c>
      <c r="K57" s="7"/>
    </row>
    <row r="58" customFormat="false" ht="15" hidden="false" customHeight="false" outlineLevel="0" collapsed="false">
      <c r="A58" s="8" t="n">
        <v>46006</v>
      </c>
      <c r="B58" s="6" t="n">
        <v>0</v>
      </c>
      <c r="C58" s="6" t="n">
        <v>12</v>
      </c>
      <c r="D58" s="10" t="n">
        <f aca="false">IF(SUM(B58:C58)=0,"",B58/SUM(B58:C58))</f>
        <v>0</v>
      </c>
      <c r="E58" s="6" t="n">
        <v>4</v>
      </c>
      <c r="F58" s="6" t="n">
        <v>26</v>
      </c>
      <c r="G58" s="10" t="n">
        <f aca="false">IF(SUM(E58:F58)=0,"",E58/SUM(E58:F58))</f>
        <v>0.133333333333333</v>
      </c>
      <c r="H58" s="6" t="n">
        <v>2</v>
      </c>
      <c r="I58" s="6" t="n">
        <v>27</v>
      </c>
      <c r="J58" s="10" t="n">
        <f aca="false">IF(SUM(H58:I58)=0,"",H58/SUM(H58:I58))</f>
        <v>0.0689655172413793</v>
      </c>
      <c r="K58" s="7"/>
    </row>
    <row r="59" customFormat="false" ht="15" hidden="false" customHeight="false" outlineLevel="0" collapsed="false">
      <c r="A59" s="8" t="n">
        <v>46013</v>
      </c>
      <c r="B59" s="6" t="n">
        <v>0</v>
      </c>
      <c r="C59" s="6" t="n">
        <v>0</v>
      </c>
      <c r="D59" s="10" t="str">
        <f aca="false">IF(SUM(B59:C59)=0,"",B59/SUM(B59:C59))</f>
        <v/>
      </c>
      <c r="E59" s="6" t="n">
        <v>13</v>
      </c>
      <c r="F59" s="6" t="n">
        <v>26</v>
      </c>
      <c r="G59" s="10" t="n">
        <f aca="false">IF(SUM(E59:F59)=0,"",E59/SUM(E59:F59))</f>
        <v>0.333333333333333</v>
      </c>
      <c r="H59" s="6" t="n">
        <v>1</v>
      </c>
      <c r="I59" s="6" t="n">
        <v>26</v>
      </c>
      <c r="J59" s="10" t="n">
        <f aca="false">IF(SUM(H59:I59)=0,"",H59/SUM(H59:I59))</f>
        <v>0.037037037037037</v>
      </c>
      <c r="K59" s="7"/>
    </row>
    <row r="60" customFormat="false" ht="15" hidden="false" customHeight="false" outlineLevel="0" collapsed="false">
      <c r="A60" s="8" t="n">
        <v>46020</v>
      </c>
      <c r="B60" s="6" t="n">
        <v>1</v>
      </c>
      <c r="C60" s="6" t="n">
        <v>12</v>
      </c>
      <c r="D60" s="10" t="n">
        <f aca="false">IF(SUM(B60:C60)=0,"",B60/SUM(B60:C60))</f>
        <v>0.0769230769230769</v>
      </c>
      <c r="E60" s="6" t="n">
        <v>10</v>
      </c>
      <c r="F60" s="6" t="n">
        <v>24</v>
      </c>
      <c r="G60" s="10" t="n">
        <f aca="false">IF(SUM(E60:F60)=0,"",E60/SUM(E60:F60))</f>
        <v>0.294117647058824</v>
      </c>
      <c r="H60" s="6" t="n">
        <v>1</v>
      </c>
      <c r="I60" s="6" t="n">
        <v>24</v>
      </c>
      <c r="J60" s="10" t="n">
        <f aca="false">IF(SUM(H60:I60)=0,"",H60/SUM(H60:I60))</f>
        <v>0.04</v>
      </c>
      <c r="K60" s="7"/>
    </row>
    <row r="61" customFormat="false" ht="15" hidden="false" customHeight="false" outlineLevel="0" collapsed="false">
      <c r="A61" s="8" t="n">
        <v>46027</v>
      </c>
      <c r="B61" s="6" t="n">
        <v>1</v>
      </c>
      <c r="C61" s="6" t="n">
        <v>10</v>
      </c>
      <c r="D61" s="10" t="n">
        <f aca="false">IF(SUM(B61:C61)=0,"",B61/SUM(B61:C61))</f>
        <v>0.0909090909090909</v>
      </c>
      <c r="E61" s="6" t="n">
        <v>14</v>
      </c>
      <c r="F61" s="6" t="n">
        <v>22</v>
      </c>
      <c r="G61" s="10" t="n">
        <f aca="false">IF(SUM(E61:F61)=0,"",E61/SUM(E61:F61))</f>
        <v>0.388888888888889</v>
      </c>
      <c r="H61" s="6" t="n">
        <v>2</v>
      </c>
      <c r="I61" s="6" t="n">
        <v>22</v>
      </c>
      <c r="J61" s="10" t="n">
        <f aca="false">IF(SUM(H61:I61)=0,"",H61/SUM(H61:I61))</f>
        <v>0.0833333333333333</v>
      </c>
      <c r="K61" s="7"/>
    </row>
    <row r="62" customFormat="false" ht="15" hidden="false" customHeight="false" outlineLevel="0" collapsed="false">
      <c r="A62" s="8" t="n">
        <v>46034</v>
      </c>
      <c r="B62" s="6" t="n">
        <v>0</v>
      </c>
      <c r="C62" s="6" t="n">
        <v>15</v>
      </c>
      <c r="D62" s="10" t="n">
        <f aca="false">IF(SUM(B62:C62)=0,"",B62/SUM(B62:C62))</f>
        <v>0</v>
      </c>
      <c r="E62" s="6" t="n">
        <v>16</v>
      </c>
      <c r="F62" s="6" t="n">
        <v>30</v>
      </c>
      <c r="G62" s="10" t="n">
        <f aca="false">IF(SUM(E62:F62)=0,"",E62/SUM(E62:F62))</f>
        <v>0.347826086956522</v>
      </c>
      <c r="H62" s="6" t="n">
        <v>0</v>
      </c>
      <c r="I62" s="6" t="n">
        <v>30</v>
      </c>
      <c r="J62" s="10" t="n">
        <f aca="false">IF(SUM(H62:I62)=0,"",H62/SUM(H62:I62))</f>
        <v>0</v>
      </c>
      <c r="K62" s="7"/>
    </row>
    <row r="63" customFormat="false" ht="15" hidden="false" customHeight="false" outlineLevel="0" collapsed="false">
      <c r="A63" s="8" t="n">
        <v>46041</v>
      </c>
      <c r="B63" s="6" t="n">
        <v>0</v>
      </c>
      <c r="C63" s="6" t="n">
        <v>18</v>
      </c>
      <c r="D63" s="10" t="n">
        <f aca="false">IF(SUM(B63:C63)=0,"",B63/SUM(B63:C63))</f>
        <v>0</v>
      </c>
      <c r="E63" s="6" t="n">
        <v>30</v>
      </c>
      <c r="F63" s="6" t="n">
        <v>36</v>
      </c>
      <c r="G63" s="10" t="n">
        <f aca="false">IF(SUM(E63:F63)=0,"",E63/SUM(E63:F63))</f>
        <v>0.454545454545455</v>
      </c>
      <c r="H63" s="6" t="n">
        <v>4</v>
      </c>
      <c r="I63" s="6" t="n">
        <v>36</v>
      </c>
      <c r="J63" s="10" t="n">
        <f aca="false">IF(SUM(H63:I63)=0,"",H63/SUM(H63:I63))</f>
        <v>0.1</v>
      </c>
      <c r="K63" s="7"/>
    </row>
    <row r="64" customFormat="false" ht="15" hidden="false" customHeight="false" outlineLevel="0" collapsed="false">
      <c r="A64" s="8" t="n">
        <v>46048</v>
      </c>
      <c r="B64" s="6" t="n">
        <v>4</v>
      </c>
      <c r="C64" s="6" t="n">
        <v>30</v>
      </c>
      <c r="D64" s="10" t="n">
        <f aca="false">IF(SUM(B64:C64)=0,"",B64/SUM(B64:C64))</f>
        <v>0.117647058823529</v>
      </c>
      <c r="E64" s="6" t="n">
        <v>63</v>
      </c>
      <c r="F64" s="6" t="n">
        <v>60</v>
      </c>
      <c r="G64" s="10" t="n">
        <f aca="false">IF(SUM(E64:F64)=0,"",E64/SUM(E64:F64))</f>
        <v>0.51219512195122</v>
      </c>
      <c r="H64" s="6" t="n">
        <v>1</v>
      </c>
      <c r="I64" s="6" t="n">
        <v>61</v>
      </c>
      <c r="J64" s="10" t="n">
        <f aca="false">IF(SUM(H64:I64)=0,"",H64/SUM(H64:I64))</f>
        <v>0.0161290322580645</v>
      </c>
      <c r="K64" s="7"/>
    </row>
    <row r="65" customFormat="false" ht="15" hidden="false" customHeight="false" outlineLevel="0" collapsed="false">
      <c r="A65" s="8" t="n">
        <v>46055</v>
      </c>
      <c r="B65" s="6" t="n">
        <v>2</v>
      </c>
      <c r="C65" s="6" t="n">
        <v>26</v>
      </c>
      <c r="D65" s="10" t="n">
        <f aca="false">IF(SUM(B65:C65)=0,"",B65/SUM(B65:C65))</f>
        <v>0.0714285714285714</v>
      </c>
      <c r="E65" s="6" t="n">
        <v>49</v>
      </c>
      <c r="F65" s="6" t="n">
        <v>53</v>
      </c>
      <c r="G65" s="10" t="n">
        <f aca="false">IF(SUM(E65:F65)=0,"",E65/SUM(E65:F65))</f>
        <v>0.480392156862745</v>
      </c>
      <c r="H65" s="6" t="n">
        <v>6</v>
      </c>
      <c r="I65" s="6" t="n">
        <v>54</v>
      </c>
      <c r="J65" s="10" t="n">
        <f aca="false">IF(SUM(H65:I65)=0,"",H65/SUM(H65:I65))</f>
        <v>0.1</v>
      </c>
      <c r="K65" s="7"/>
    </row>
    <row r="66" customFormat="false" ht="15" hidden="false" customHeight="false" outlineLevel="0" collapsed="false">
      <c r="A66" s="8" t="n">
        <v>46062</v>
      </c>
      <c r="B66" s="6" t="n">
        <v>1</v>
      </c>
      <c r="C66" s="6" t="n">
        <v>18</v>
      </c>
      <c r="D66" s="10" t="n">
        <f aca="false">IF(SUM(B66:C66)=0,"",B66/SUM(B66:C66))</f>
        <v>0.0526315789473684</v>
      </c>
      <c r="E66" s="6" t="n">
        <v>15</v>
      </c>
      <c r="F66" s="6" t="n">
        <v>32</v>
      </c>
      <c r="G66" s="10" t="n">
        <f aca="false">IF(SUM(E66:F66)=0,"",E66/SUM(E66:F66))</f>
        <v>0.319148936170213</v>
      </c>
      <c r="H66" s="6" t="n">
        <v>10</v>
      </c>
      <c r="I66" s="6" t="n">
        <v>29</v>
      </c>
      <c r="J66" s="10" t="n">
        <f aca="false">IF(SUM(H66:I66)=0,"",H66/SUM(H66:I66))</f>
        <v>0.256410256410256</v>
      </c>
      <c r="K66" s="7"/>
    </row>
    <row r="67" customFormat="false" ht="15" hidden="false" customHeight="false" outlineLevel="0" collapsed="false">
      <c r="A67" s="8" t="n">
        <v>46069</v>
      </c>
      <c r="B67" s="6" t="n">
        <v>2</v>
      </c>
      <c r="C67" s="6" t="n">
        <v>11</v>
      </c>
      <c r="D67" s="10" t="n">
        <f aca="false">IF(SUM(B67:C67)=0,"",B67/SUM(B67:C67))</f>
        <v>0.153846153846154</v>
      </c>
      <c r="E67" s="6" t="n">
        <v>7</v>
      </c>
      <c r="F67" s="6" t="n">
        <v>20</v>
      </c>
      <c r="G67" s="10" t="n">
        <f aca="false">IF(SUM(E67:F67)=0,"",E67/SUM(E67:F67))</f>
        <v>0.259259259259259</v>
      </c>
      <c r="H67" s="6" t="n">
        <v>5</v>
      </c>
      <c r="I67" s="6" t="n">
        <v>19</v>
      </c>
      <c r="J67" s="10" t="n">
        <f aca="false">IF(SUM(H67:I67)=0,"",H67/SUM(H67:I67))</f>
        <v>0.208333333333333</v>
      </c>
      <c r="K67" s="7"/>
    </row>
    <row r="68" customFormat="false" ht="15" hidden="false" customHeight="false" outlineLevel="0" collapsed="false">
      <c r="A68" s="8" t="n">
        <v>46076</v>
      </c>
      <c r="B68" s="6" t="n">
        <v>2</v>
      </c>
      <c r="C68" s="6" t="n">
        <v>9</v>
      </c>
      <c r="D68" s="10" t="n">
        <f aca="false">IF(SUM(B68:C68)=0,"",B68/SUM(B68:C68))</f>
        <v>0.181818181818182</v>
      </c>
      <c r="E68" s="6" t="n">
        <v>7</v>
      </c>
      <c r="F68" s="6" t="n">
        <v>18</v>
      </c>
      <c r="G68" s="10" t="n">
        <f aca="false">IF(SUM(E68:F68)=0,"",E68/SUM(E68:F68))</f>
        <v>0.28</v>
      </c>
      <c r="H68" s="6" t="n">
        <v>4</v>
      </c>
      <c r="I68" s="6" t="n">
        <v>16</v>
      </c>
      <c r="J68" s="10" t="n">
        <f aca="false">IF(SUM(H68:I68)=0,"",H68/SUM(H68:I68))</f>
        <v>0.2</v>
      </c>
      <c r="K68" s="7"/>
    </row>
    <row r="69" customFormat="false" ht="15" hidden="false" customHeight="false" outlineLevel="0" collapsed="false">
      <c r="A69" s="8" t="n">
        <v>46083</v>
      </c>
      <c r="B69" s="6" t="n">
        <v>0</v>
      </c>
      <c r="C69" s="6" t="n">
        <v>16</v>
      </c>
      <c r="D69" s="10" t="n">
        <f aca="false">IF(SUM(B69:C69)=0,"",B69/SUM(B69:C69))</f>
        <v>0</v>
      </c>
      <c r="E69" s="6" t="n">
        <v>5</v>
      </c>
      <c r="F69" s="6" t="n">
        <v>26</v>
      </c>
      <c r="G69" s="10" t="n">
        <f aca="false">IF(SUM(E69:F69)=0,"",E69/SUM(E69:F69))</f>
        <v>0.161290322580645</v>
      </c>
      <c r="H69" s="6" t="n">
        <v>6</v>
      </c>
      <c r="I69" s="6" t="n">
        <v>19</v>
      </c>
      <c r="J69" s="10" t="n">
        <f aca="false">IF(SUM(H69:I69)=0,"",H69/SUM(H69:I69))</f>
        <v>0.24</v>
      </c>
      <c r="K69" s="7"/>
    </row>
    <row r="70" customFormat="false" ht="15" hidden="false" customHeight="false" outlineLevel="0" collapsed="false">
      <c r="A70" s="8" t="n">
        <v>46090</v>
      </c>
      <c r="B70" s="6" t="n">
        <v>0</v>
      </c>
      <c r="C70" s="6" t="n">
        <v>10</v>
      </c>
      <c r="D70" s="10" t="n">
        <f aca="false">IF(SUM(B70:C70)=0,"",B70/SUM(B70:C70))</f>
        <v>0</v>
      </c>
      <c r="E70" s="6" t="n">
        <v>5</v>
      </c>
      <c r="F70" s="6" t="n">
        <v>11</v>
      </c>
      <c r="G70" s="10" t="n">
        <f aca="false">IF(SUM(E70:F70)=0,"",E70/SUM(E70:F70))</f>
        <v>0.3125</v>
      </c>
      <c r="H70" s="6" t="n">
        <v>0</v>
      </c>
      <c r="I70" s="6" t="n">
        <v>10</v>
      </c>
      <c r="J70" s="10" t="n">
        <f aca="false">IF(SUM(H70:I70)=0,"",H70/SUM(H70:I70))</f>
        <v>0</v>
      </c>
      <c r="K70" s="7"/>
    </row>
    <row r="71" customFormat="false" ht="15" hidden="false" customHeight="false" outlineLevel="0" collapsed="false">
      <c r="A71" s="8" t="n">
        <v>46097</v>
      </c>
      <c r="B71" s="6" t="n">
        <v>4</v>
      </c>
      <c r="C71" s="6" t="n">
        <v>6</v>
      </c>
      <c r="D71" s="10" t="n">
        <f aca="false">IF(SUM(B71:C71)=0,"",B71/SUM(B71:C71))</f>
        <v>0.4</v>
      </c>
      <c r="E71" s="6" t="n">
        <v>6</v>
      </c>
      <c r="F71" s="6" t="n">
        <v>12</v>
      </c>
      <c r="G71" s="10" t="n">
        <f aca="false">IF(SUM(E71:F71)=0,"",E71/SUM(E71:F71))</f>
        <v>0.333333333333333</v>
      </c>
      <c r="H71" s="6" t="n">
        <v>2</v>
      </c>
      <c r="I71" s="6" t="n">
        <v>10</v>
      </c>
      <c r="J71" s="10" t="n">
        <f aca="false">IF(SUM(H71:I71)=0,"",H71/SUM(H71:I71))</f>
        <v>0.166666666666667</v>
      </c>
      <c r="K71" s="7"/>
    </row>
    <row r="72" customFormat="false" ht="15" hidden="false" customHeight="false" outlineLevel="0" collapsed="false">
      <c r="A72" s="8" t="n">
        <v>46104</v>
      </c>
      <c r="B72" s="6" t="n">
        <v>1</v>
      </c>
      <c r="C72" s="6" t="n">
        <v>12</v>
      </c>
      <c r="D72" s="10" t="n">
        <f aca="false">IF(SUM(B72:C72)=0,"",B72/SUM(B72:C72))</f>
        <v>0.0769230769230769</v>
      </c>
      <c r="E72" s="6" t="n">
        <v>7</v>
      </c>
      <c r="F72" s="6" t="n">
        <v>16</v>
      </c>
      <c r="G72" s="10" t="n">
        <f aca="false">IF(SUM(E72:F72)=0,"",E72/SUM(E72:F72))</f>
        <v>0.304347826086957</v>
      </c>
      <c r="H72" s="6" t="n">
        <v>1</v>
      </c>
      <c r="I72" s="6" t="n">
        <v>16</v>
      </c>
      <c r="J72" s="10" t="n">
        <f aca="false">IF(SUM(H72:I72)=0,"",H72/SUM(H72:I72))</f>
        <v>0.0588235294117647</v>
      </c>
      <c r="K72" s="7"/>
    </row>
    <row r="73" customFormat="false" ht="15" hidden="false" customHeight="false" outlineLevel="0" collapsed="false">
      <c r="A73" s="8" t="n">
        <v>46272</v>
      </c>
      <c r="B73" s="6" t="n">
        <v>4</v>
      </c>
      <c r="C73" s="6" t="n">
        <v>5</v>
      </c>
      <c r="D73" s="10" t="n">
        <f aca="false">IF(SUM(B73:C73)=0,"",B73/SUM(B73:C73))</f>
        <v>0.444444444444444</v>
      </c>
      <c r="E73" s="6" t="n">
        <v>0</v>
      </c>
      <c r="F73" s="6" t="n">
        <v>9</v>
      </c>
      <c r="G73" s="10" t="n">
        <f aca="false">IF(SUM(E73:F73)=0,"",E73/SUM(E73:F73))</f>
        <v>0</v>
      </c>
      <c r="H73" s="6" t="n">
        <v>0</v>
      </c>
      <c r="I73" s="6" t="n">
        <v>10</v>
      </c>
      <c r="J73" s="10" t="n">
        <f aca="false">IF(SUM(H73:I73)=0,"",H73/SUM(H73:I73))</f>
        <v>0</v>
      </c>
      <c r="K73" s="7" t="s">
        <v>71</v>
      </c>
    </row>
    <row r="74" customFormat="false" ht="15" hidden="false" customHeight="false" outlineLevel="0" collapsed="false">
      <c r="A74" s="8" t="n">
        <v>46279</v>
      </c>
      <c r="B74" s="6" t="n">
        <v>5</v>
      </c>
      <c r="C74" s="6" t="n">
        <v>11</v>
      </c>
      <c r="D74" s="10" t="n">
        <f aca="false">IF(SUM(B74:C74)=0,"",B74/SUM(B74:C74))</f>
        <v>0.3125</v>
      </c>
      <c r="E74" s="6" t="n">
        <v>1</v>
      </c>
      <c r="F74" s="6" t="n">
        <v>12</v>
      </c>
      <c r="G74" s="10" t="n">
        <f aca="false">IF(SUM(E74:F74)=0,"",E74/SUM(E74:F74))</f>
        <v>0.0769230769230769</v>
      </c>
      <c r="H74" s="6" t="n">
        <v>0</v>
      </c>
      <c r="I74" s="6" t="n">
        <v>12</v>
      </c>
      <c r="J74" s="10" t="n">
        <f aca="false">IF(SUM(H74:I74)=0,"",H74/SUM(H74:I74))</f>
        <v>0</v>
      </c>
      <c r="K74" s="7"/>
    </row>
    <row r="75" customFormat="false" ht="15" hidden="false" customHeight="false" outlineLevel="0" collapsed="false">
      <c r="A75" s="8" t="n">
        <v>46286</v>
      </c>
      <c r="B75" s="6" t="n">
        <v>4</v>
      </c>
      <c r="C75" s="6" t="n">
        <v>14</v>
      </c>
      <c r="D75" s="10" t="n">
        <f aca="false">IF(SUM(B75:C75)=0,"",B75/SUM(B75:C75))</f>
        <v>0.222222222222222</v>
      </c>
      <c r="E75" s="6" t="n">
        <v>0</v>
      </c>
      <c r="F75" s="6" t="n">
        <v>20</v>
      </c>
      <c r="G75" s="10" t="n">
        <f aca="false">IF(SUM(E75:F75)=0,"",E75/SUM(E75:F75))</f>
        <v>0</v>
      </c>
      <c r="H75" s="6" t="n">
        <v>0</v>
      </c>
      <c r="I75" s="6" t="n">
        <v>18</v>
      </c>
      <c r="J75" s="10" t="n">
        <f aca="false">IF(SUM(H75:I75)=0,"",H75/SUM(H75:I75))</f>
        <v>0</v>
      </c>
      <c r="K75" s="7"/>
    </row>
    <row r="76" customFormat="false" ht="15" hidden="false" customHeight="false" outlineLevel="0" collapsed="false">
      <c r="A76" s="8" t="n">
        <v>46293</v>
      </c>
      <c r="B76" s="6" t="n">
        <v>4</v>
      </c>
      <c r="C76" s="6" t="n">
        <v>9</v>
      </c>
      <c r="D76" s="10" t="n">
        <f aca="false">IF(SUM(B76:C76)=0,"",B76/SUM(B76:C76))</f>
        <v>0.307692307692308</v>
      </c>
      <c r="E76" s="6" t="n">
        <v>0</v>
      </c>
      <c r="F76" s="6" t="n">
        <v>14</v>
      </c>
      <c r="G76" s="10" t="n">
        <f aca="false">IF(SUM(E76:F76)=0,"",E76/SUM(E76:F76))</f>
        <v>0</v>
      </c>
      <c r="H76" s="6" t="n">
        <v>1</v>
      </c>
      <c r="I76" s="6" t="n">
        <v>13</v>
      </c>
      <c r="J76" s="10" t="n">
        <f aca="false">IF(SUM(H76:I76)=0,"",H76/SUM(H76:I76))</f>
        <v>0.0714285714285714</v>
      </c>
      <c r="K76" s="7"/>
    </row>
    <row r="77" customFormat="false" ht="15" hidden="false" customHeight="false" outlineLevel="0" collapsed="false">
      <c r="A77" s="8" t="n">
        <v>46300</v>
      </c>
      <c r="B77" s="6" t="n">
        <v>1</v>
      </c>
      <c r="C77" s="6" t="n">
        <v>6</v>
      </c>
      <c r="D77" s="10" t="n">
        <f aca="false">IF(SUM(B77:C77)=0,"",B77/SUM(B77:C77))</f>
        <v>0.142857142857143</v>
      </c>
      <c r="E77" s="6" t="n">
        <v>0</v>
      </c>
      <c r="F77" s="6" t="n">
        <v>11</v>
      </c>
      <c r="G77" s="10" t="n">
        <f aca="false">IF(SUM(E77:F77)=0,"",E77/SUM(E77:F77))</f>
        <v>0</v>
      </c>
      <c r="H77" s="6" t="n">
        <v>0</v>
      </c>
      <c r="I77" s="6" t="n">
        <v>11</v>
      </c>
      <c r="J77" s="10" t="n">
        <f aca="false">IF(SUM(H77:I77)=0,"",H77/SUM(H77:I77))</f>
        <v>0</v>
      </c>
      <c r="K77" s="7"/>
    </row>
    <row r="78" customFormat="false" ht="15" hidden="false" customHeight="false" outlineLevel="0" collapsed="false">
      <c r="A78" s="8" t="n">
        <v>46307</v>
      </c>
      <c r="B78" s="6"/>
      <c r="C78" s="6"/>
      <c r="D78" s="10" t="str">
        <f aca="false">IF(SUM(B78:C78)=0,"",B78/SUM(B78:C78))</f>
        <v/>
      </c>
      <c r="E78" s="6"/>
      <c r="F78" s="6"/>
      <c r="G78" s="10" t="str">
        <f aca="false">IF(SUM(E78:F78)=0,"",E78/SUM(E78:F78))</f>
        <v/>
      </c>
      <c r="H78" s="6"/>
      <c r="I78" s="6"/>
      <c r="J78" s="10" t="str">
        <f aca="false">IF(SUM(H78:I78)=0,"",H78/SUM(H78:I78))</f>
        <v/>
      </c>
      <c r="K78" s="7"/>
    </row>
    <row r="79" customFormat="false" ht="15" hidden="false" customHeight="false" outlineLevel="0" collapsed="false">
      <c r="A79" s="8" t="n">
        <v>46314</v>
      </c>
      <c r="B79" s="6"/>
      <c r="C79" s="6"/>
      <c r="D79" s="10" t="str">
        <f aca="false">IF(SUM(B79:C79)=0,"",B79/SUM(B79:C79))</f>
        <v/>
      </c>
      <c r="E79" s="6"/>
      <c r="F79" s="6"/>
      <c r="G79" s="10" t="str">
        <f aca="false">IF(SUM(E79:F79)=0,"",E79/SUM(E79:F79))</f>
        <v/>
      </c>
      <c r="H79" s="6"/>
      <c r="I79" s="6"/>
      <c r="J79" s="10" t="str">
        <f aca="false">IF(SUM(H79:I79)=0,"",H79/SUM(H79:I79))</f>
        <v/>
      </c>
      <c r="K79" s="7"/>
    </row>
    <row r="80" customFormat="false" ht="15" hidden="false" customHeight="false" outlineLevel="0" collapsed="false">
      <c r="A80" s="8" t="n">
        <v>46321</v>
      </c>
      <c r="B80" s="6"/>
      <c r="C80" s="6"/>
      <c r="D80" s="10" t="str">
        <f aca="false">IF(SUM(B80:C80)=0,"",B80/SUM(B80:C80))</f>
        <v/>
      </c>
      <c r="E80" s="6"/>
      <c r="F80" s="6"/>
      <c r="G80" s="10" t="str">
        <f aca="false">IF(SUM(E80:F80)=0,"",E80/SUM(E80:F80))</f>
        <v/>
      </c>
      <c r="H80" s="6"/>
      <c r="I80" s="6"/>
      <c r="J80" s="10" t="str">
        <f aca="false">IF(SUM(H80:I80)=0,"",H80/SUM(H80:I80))</f>
        <v/>
      </c>
      <c r="K80" s="7"/>
    </row>
    <row r="81" customFormat="false" ht="15" hidden="false" customHeight="false" outlineLevel="0" collapsed="false">
      <c r="A81" s="8" t="n">
        <v>46328</v>
      </c>
      <c r="B81" s="6"/>
      <c r="C81" s="6"/>
      <c r="D81" s="10" t="str">
        <f aca="false">IF(SUM(B81:C81)=0,"",B81/SUM(B81:C81))</f>
        <v/>
      </c>
      <c r="E81" s="6"/>
      <c r="F81" s="6"/>
      <c r="G81" s="10" t="str">
        <f aca="false">IF(SUM(E81:F81)=0,"",E81/SUM(E81:F81))</f>
        <v/>
      </c>
      <c r="H81" s="6"/>
      <c r="I81" s="6"/>
      <c r="J81" s="10" t="str">
        <f aca="false">IF(SUM(H81:I81)=0,"",H81/SUM(H81:I81))</f>
        <v/>
      </c>
      <c r="K81" s="7"/>
    </row>
    <row r="82" customFormat="false" ht="15" hidden="false" customHeight="false" outlineLevel="0" collapsed="false">
      <c r="A82" s="8" t="n">
        <v>46335</v>
      </c>
      <c r="B82" s="6"/>
      <c r="C82" s="6"/>
      <c r="D82" s="10" t="str">
        <f aca="false">IF(SUM(B82:C82)=0,"",B82/SUM(B82:C82))</f>
        <v/>
      </c>
      <c r="E82" s="6"/>
      <c r="F82" s="6"/>
      <c r="G82" s="10" t="str">
        <f aca="false">IF(SUM(E82:F82)=0,"",E82/SUM(E82:F82))</f>
        <v/>
      </c>
      <c r="H82" s="6"/>
      <c r="I82" s="6"/>
      <c r="J82" s="10" t="str">
        <f aca="false">IF(SUM(H82:I82)=0,"",H82/SUM(H82:I82))</f>
        <v/>
      </c>
      <c r="K82" s="7"/>
    </row>
    <row r="83" customFormat="false" ht="15" hidden="false" customHeight="false" outlineLevel="0" collapsed="false">
      <c r="A83" s="8" t="n">
        <v>46342</v>
      </c>
      <c r="B83" s="6"/>
      <c r="C83" s="6"/>
      <c r="D83" s="10" t="str">
        <f aca="false">IF(SUM(B83:C83)=0,"",B83/SUM(B83:C83))</f>
        <v/>
      </c>
      <c r="E83" s="6"/>
      <c r="F83" s="6"/>
      <c r="G83" s="10" t="str">
        <f aca="false">IF(SUM(E83:F83)=0,"",E83/SUM(E83:F83))</f>
        <v/>
      </c>
      <c r="H83" s="6"/>
      <c r="I83" s="6"/>
      <c r="J83" s="10" t="str">
        <f aca="false">IF(SUM(H83:I83)=0,"",H83/SUM(H83:I83))</f>
        <v/>
      </c>
      <c r="K83" s="7"/>
    </row>
    <row r="84" customFormat="false" ht="15" hidden="false" customHeight="false" outlineLevel="0" collapsed="false">
      <c r="A84" s="8" t="n">
        <v>46349</v>
      </c>
      <c r="B84" s="6"/>
      <c r="C84" s="6"/>
      <c r="D84" s="10" t="str">
        <f aca="false">IF(SUM(B84:C84)=0,"",B84/SUM(B84:C84))</f>
        <v/>
      </c>
      <c r="E84" s="6"/>
      <c r="F84" s="6"/>
      <c r="G84" s="10" t="str">
        <f aca="false">IF(SUM(E84:F84)=0,"",E84/SUM(E84:F84))</f>
        <v/>
      </c>
      <c r="H84" s="6"/>
      <c r="I84" s="6"/>
      <c r="J84" s="10" t="str">
        <f aca="false">IF(SUM(H84:I84)=0,"",H84/SUM(H84:I84))</f>
        <v/>
      </c>
      <c r="K84" s="7"/>
    </row>
    <row r="85" customFormat="false" ht="15" hidden="false" customHeight="false" outlineLevel="0" collapsed="false">
      <c r="A85" s="8" t="n">
        <v>46356</v>
      </c>
      <c r="B85" s="6"/>
      <c r="C85" s="6"/>
      <c r="D85" s="10" t="str">
        <f aca="false">IF(SUM(B85:C85)=0,"",B85/SUM(B85:C85))</f>
        <v/>
      </c>
      <c r="E85" s="6"/>
      <c r="F85" s="6"/>
      <c r="G85" s="10" t="str">
        <f aca="false">IF(SUM(E85:F85)=0,"",E85/SUM(E85:F85))</f>
        <v/>
      </c>
      <c r="H85" s="6"/>
      <c r="I85" s="6"/>
      <c r="J85" s="10" t="str">
        <f aca="false">IF(SUM(H85:I85)=0,"",H85/SUM(H85:I85))</f>
        <v/>
      </c>
      <c r="K85" s="7"/>
    </row>
    <row r="86" customFormat="false" ht="15" hidden="false" customHeight="false" outlineLevel="0" collapsed="false">
      <c r="A86" s="8" t="n">
        <v>46363</v>
      </c>
      <c r="B86" s="6"/>
      <c r="C86" s="6"/>
      <c r="D86" s="10" t="str">
        <f aca="false">IF(SUM(B86:C86)=0,"",B86/SUM(B86:C86))</f>
        <v/>
      </c>
      <c r="E86" s="6"/>
      <c r="F86" s="6"/>
      <c r="G86" s="10" t="str">
        <f aca="false">IF(SUM(E86:F86)=0,"",E86/SUM(E86:F86))</f>
        <v/>
      </c>
      <c r="H86" s="6"/>
      <c r="I86" s="6"/>
      <c r="J86" s="10" t="str">
        <f aca="false">IF(SUM(H86:I86)=0,"",H86/SUM(H86:I86))</f>
        <v/>
      </c>
      <c r="K86" s="7"/>
    </row>
    <row r="87" customFormat="false" ht="15" hidden="false" customHeight="false" outlineLevel="0" collapsed="false">
      <c r="A87" s="8" t="n">
        <v>46370</v>
      </c>
      <c r="B87" s="6"/>
      <c r="C87" s="6"/>
      <c r="D87" s="10" t="str">
        <f aca="false">IF(SUM(B87:C87)=0,"",B87/SUM(B87:C87))</f>
        <v/>
      </c>
      <c r="E87" s="6"/>
      <c r="F87" s="6"/>
      <c r="G87" s="10" t="str">
        <f aca="false">IF(SUM(E87:F87)=0,"",E87/SUM(E87:F87))</f>
        <v/>
      </c>
      <c r="H87" s="6"/>
      <c r="I87" s="6"/>
      <c r="J87" s="10" t="str">
        <f aca="false">IF(SUM(H87:I87)=0,"",H87/SUM(H87:I87))</f>
        <v/>
      </c>
      <c r="K87" s="7"/>
    </row>
    <row r="88" customFormat="false" ht="15" hidden="false" customHeight="false" outlineLevel="0" collapsed="false">
      <c r="A88" s="8" t="n">
        <v>46377</v>
      </c>
      <c r="B88" s="6"/>
      <c r="C88" s="6"/>
      <c r="D88" s="10" t="str">
        <f aca="false">IF(SUM(B88:C88)=0,"",B88/SUM(B88:C88))</f>
        <v/>
      </c>
      <c r="E88" s="6"/>
      <c r="F88" s="6"/>
      <c r="G88" s="10" t="str">
        <f aca="false">IF(SUM(E88:F88)=0,"",E88/SUM(E88:F88))</f>
        <v/>
      </c>
      <c r="H88" s="6"/>
      <c r="I88" s="6"/>
      <c r="J88" s="10" t="str">
        <f aca="false">IF(SUM(H88:I88)=0,"",H88/SUM(H88:I88))</f>
        <v/>
      </c>
      <c r="K88" s="7"/>
    </row>
    <row r="89" customFormat="false" ht="15" hidden="false" customHeight="false" outlineLevel="0" collapsed="false">
      <c r="A89" s="8" t="n">
        <v>46384</v>
      </c>
      <c r="B89" s="6"/>
      <c r="C89" s="6"/>
      <c r="D89" s="10" t="str">
        <f aca="false">IF(SUM(B89:C89)=0,"",B89/SUM(B89:C89))</f>
        <v/>
      </c>
      <c r="E89" s="6"/>
      <c r="F89" s="6"/>
      <c r="G89" s="10" t="str">
        <f aca="false">IF(SUM(E89:F89)=0,"",E89/SUM(E89:F89))</f>
        <v/>
      </c>
      <c r="H89" s="6"/>
      <c r="I89" s="6"/>
      <c r="J89" s="10" t="str">
        <f aca="false">IF(SUM(H89:I89)=0,"",H89/SUM(H89:I89))</f>
        <v/>
      </c>
      <c r="K89" s="7"/>
    </row>
    <row r="90" customFormat="false" ht="15" hidden="false" customHeight="false" outlineLevel="0" collapsed="false">
      <c r="A90" s="8" t="n">
        <v>46391</v>
      </c>
      <c r="B90" s="6"/>
      <c r="C90" s="6"/>
      <c r="D90" s="10" t="str">
        <f aca="false">IF(SUM(B90:C90)=0,"",B90/SUM(B90:C90))</f>
        <v/>
      </c>
      <c r="E90" s="6"/>
      <c r="F90" s="6"/>
      <c r="G90" s="10" t="str">
        <f aca="false">IF(SUM(E90:F90)=0,"",E90/SUM(E90:F90))</f>
        <v/>
      </c>
      <c r="H90" s="6"/>
      <c r="I90" s="6"/>
      <c r="J90" s="10" t="str">
        <f aca="false">IF(SUM(H90:I90)=0,"",H90/SUM(H90:I90))</f>
        <v/>
      </c>
      <c r="K90" s="7"/>
    </row>
    <row r="91" customFormat="false" ht="15" hidden="false" customHeight="false" outlineLevel="0" collapsed="false">
      <c r="A91" s="8" t="n">
        <v>46398</v>
      </c>
      <c r="B91" s="6"/>
      <c r="C91" s="6"/>
      <c r="D91" s="10" t="str">
        <f aca="false">IF(SUM(B91:C91)=0,"",B91/SUM(B91:C91))</f>
        <v/>
      </c>
      <c r="E91" s="6"/>
      <c r="F91" s="6"/>
      <c r="G91" s="10" t="str">
        <f aca="false">IF(SUM(E91:F91)=0,"",E91/SUM(E91:F91))</f>
        <v/>
      </c>
      <c r="H91" s="6"/>
      <c r="I91" s="6"/>
      <c r="J91" s="10" t="str">
        <f aca="false">IF(SUM(H91:I91)=0,"",H91/SUM(H91:I91))</f>
        <v/>
      </c>
      <c r="K91" s="7"/>
    </row>
    <row r="92" customFormat="false" ht="15" hidden="false" customHeight="false" outlineLevel="0" collapsed="false">
      <c r="A92" s="8" t="n">
        <v>46405</v>
      </c>
      <c r="B92" s="6"/>
      <c r="C92" s="6"/>
      <c r="D92" s="10" t="str">
        <f aca="false">IF(SUM(B92:C92)=0,"",B92/SUM(B92:C92))</f>
        <v/>
      </c>
      <c r="E92" s="6"/>
      <c r="F92" s="6"/>
      <c r="G92" s="10" t="str">
        <f aca="false">IF(SUM(E92:F92)=0,"",E92/SUM(E92:F92))</f>
        <v/>
      </c>
      <c r="H92" s="6"/>
      <c r="I92" s="6"/>
      <c r="J92" s="10" t="str">
        <f aca="false">IF(SUM(H92:I92)=0,"",H92/SUM(H92:I92))</f>
        <v/>
      </c>
      <c r="K92" s="7"/>
    </row>
    <row r="93" customFormat="false" ht="15" hidden="false" customHeight="false" outlineLevel="0" collapsed="false">
      <c r="A93" s="8" t="n">
        <v>46412</v>
      </c>
      <c r="B93" s="6"/>
      <c r="C93" s="6"/>
      <c r="D93" s="10" t="str">
        <f aca="false">IF(SUM(B93:C93)=0,"",B93/SUM(B93:C93))</f>
        <v/>
      </c>
      <c r="E93" s="6"/>
      <c r="F93" s="6"/>
      <c r="G93" s="10" t="str">
        <f aca="false">IF(SUM(E93:F93)=0,"",E93/SUM(E93:F93))</f>
        <v/>
      </c>
      <c r="H93" s="6"/>
      <c r="I93" s="6"/>
      <c r="J93" s="10" t="str">
        <f aca="false">IF(SUM(H93:I93)=0,"",H93/SUM(H93:I93))</f>
        <v/>
      </c>
      <c r="K93" s="7"/>
    </row>
    <row r="94" customFormat="false" ht="15" hidden="false" customHeight="false" outlineLevel="0" collapsed="false">
      <c r="A94" s="8" t="n">
        <v>46419</v>
      </c>
      <c r="B94" s="6"/>
      <c r="C94" s="6"/>
      <c r="D94" s="10" t="str">
        <f aca="false">IF(SUM(B94:C94)=0,"",B94/SUM(B94:C94))</f>
        <v/>
      </c>
      <c r="E94" s="6"/>
      <c r="F94" s="6"/>
      <c r="G94" s="10" t="str">
        <f aca="false">IF(SUM(E94:F94)=0,"",E94/SUM(E94:F94))</f>
        <v/>
      </c>
      <c r="H94" s="6"/>
      <c r="I94" s="6"/>
      <c r="J94" s="10" t="str">
        <f aca="false">IF(SUM(H94:I94)=0,"",H94/SUM(H94:I94))</f>
        <v/>
      </c>
      <c r="K94" s="7"/>
    </row>
    <row r="95" customFormat="false" ht="15" hidden="false" customHeight="false" outlineLevel="0" collapsed="false">
      <c r="A95" s="8" t="n">
        <v>46426</v>
      </c>
      <c r="B95" s="6"/>
      <c r="C95" s="6"/>
      <c r="D95" s="10" t="str">
        <f aca="false">IF(SUM(B95:C95)=0,"",B95/SUM(B95:C95))</f>
        <v/>
      </c>
      <c r="E95" s="6"/>
      <c r="F95" s="6"/>
      <c r="G95" s="10" t="str">
        <f aca="false">IF(SUM(E95:F95)=0,"",E95/SUM(E95:F95))</f>
        <v/>
      </c>
      <c r="H95" s="6"/>
      <c r="I95" s="6"/>
      <c r="J95" s="10" t="str">
        <f aca="false">IF(SUM(H95:I95)=0,"",H95/SUM(H95:I95))</f>
        <v/>
      </c>
      <c r="K95" s="7"/>
    </row>
    <row r="96" customFormat="false" ht="15" hidden="false" customHeight="false" outlineLevel="0" collapsed="false">
      <c r="A96" s="8" t="n">
        <v>46433</v>
      </c>
      <c r="B96" s="6"/>
      <c r="C96" s="6"/>
      <c r="D96" s="10" t="str">
        <f aca="false">IF(SUM(B96:C96)=0,"",B96/SUM(B96:C96))</f>
        <v/>
      </c>
      <c r="E96" s="6"/>
      <c r="F96" s="6"/>
      <c r="G96" s="10" t="str">
        <f aca="false">IF(SUM(E96:F96)=0,"",E96/SUM(E96:F96))</f>
        <v/>
      </c>
      <c r="H96" s="6"/>
      <c r="I96" s="6"/>
      <c r="J96" s="10" t="str">
        <f aca="false">IF(SUM(H96:I96)=0,"",H96/SUM(H96:I96))</f>
        <v/>
      </c>
      <c r="K96" s="7"/>
    </row>
    <row r="97" customFormat="false" ht="15" hidden="false" customHeight="false" outlineLevel="0" collapsed="false">
      <c r="A97" s="8" t="n">
        <v>46440</v>
      </c>
      <c r="B97" s="6"/>
      <c r="C97" s="6"/>
      <c r="D97" s="10" t="str">
        <f aca="false">IF(SUM(B97:C97)=0,"",B97/SUM(B97:C97))</f>
        <v/>
      </c>
      <c r="E97" s="6"/>
      <c r="F97" s="6"/>
      <c r="G97" s="10" t="str">
        <f aca="false">IF(SUM(E97:F97)=0,"",E97/SUM(E97:F97))</f>
        <v/>
      </c>
      <c r="H97" s="6"/>
      <c r="I97" s="6"/>
      <c r="J97" s="10" t="str">
        <f aca="false">IF(SUM(H97:I97)=0,"",H97/SUM(H97:I97))</f>
        <v/>
      </c>
      <c r="K97" s="7"/>
    </row>
    <row r="98" customFormat="false" ht="15" hidden="false" customHeight="false" outlineLevel="0" collapsed="false">
      <c r="A98" s="8" t="n">
        <v>46447</v>
      </c>
      <c r="B98" s="6"/>
      <c r="C98" s="6"/>
      <c r="D98" s="10" t="str">
        <f aca="false">IF(SUM(B98:C98)=0,"",B98/SUM(B98:C98))</f>
        <v/>
      </c>
      <c r="E98" s="6"/>
      <c r="F98" s="6"/>
      <c r="G98" s="10" t="str">
        <f aca="false">IF(SUM(E98:F98)=0,"",E98/SUM(E98:F98))</f>
        <v/>
      </c>
      <c r="H98" s="6"/>
      <c r="I98" s="6"/>
      <c r="J98" s="10" t="str">
        <f aca="false">IF(SUM(H98:I98)=0,"",H98/SUM(H98:I98))</f>
        <v/>
      </c>
      <c r="K98" s="7"/>
    </row>
    <row r="99" customFormat="false" ht="15" hidden="false" customHeight="false" outlineLevel="0" collapsed="false">
      <c r="A99" s="8" t="n">
        <v>46454</v>
      </c>
      <c r="B99" s="6"/>
      <c r="C99" s="6"/>
      <c r="D99" s="10" t="str">
        <f aca="false">IF(SUM(B99:C99)=0,"",B99/SUM(B99:C99))</f>
        <v/>
      </c>
      <c r="E99" s="6"/>
      <c r="F99" s="6"/>
      <c r="G99" s="10" t="str">
        <f aca="false">IF(SUM(E99:F99)=0,"",E99/SUM(E99:F99))</f>
        <v/>
      </c>
      <c r="H99" s="6"/>
      <c r="I99" s="6"/>
      <c r="J99" s="10" t="str">
        <f aca="false">IF(SUM(H99:I99)=0,"",H99/SUM(H99:I99))</f>
        <v/>
      </c>
      <c r="K99" s="7"/>
    </row>
    <row r="100" customFormat="false" ht="15" hidden="false" customHeight="false" outlineLevel="0" collapsed="false">
      <c r="A100" s="8" t="n">
        <v>46461</v>
      </c>
      <c r="B100" s="6"/>
      <c r="C100" s="6"/>
      <c r="D100" s="10" t="str">
        <f aca="false">IF(SUM(B100:C100)=0,"",B100/SUM(B100:C100))</f>
        <v/>
      </c>
      <c r="E100" s="6"/>
      <c r="F100" s="6"/>
      <c r="G100" s="10" t="str">
        <f aca="false">IF(SUM(E100:F100)=0,"",E100/SUM(E100:F100))</f>
        <v/>
      </c>
      <c r="H100" s="6"/>
      <c r="I100" s="6"/>
      <c r="J100" s="10" t="str">
        <f aca="false">IF(SUM(H100:I100)=0,"",H100/SUM(H100:I100))</f>
        <v/>
      </c>
      <c r="K100" s="7"/>
    </row>
    <row r="101" customFormat="false" ht="15" hidden="false" customHeight="false" outlineLevel="0" collapsed="false">
      <c r="A101" s="8" t="n">
        <v>46468</v>
      </c>
      <c r="B101" s="6"/>
      <c r="C101" s="6"/>
      <c r="D101" s="10" t="str">
        <f aca="false">IF(SUM(B101:C101)=0,"",B101/SUM(B101:C101))</f>
        <v/>
      </c>
      <c r="E101" s="6"/>
      <c r="F101" s="6"/>
      <c r="G101" s="10" t="str">
        <f aca="false">IF(SUM(E101:F101)=0,"",E101/SUM(E101:F101))</f>
        <v/>
      </c>
      <c r="H101" s="6"/>
      <c r="I101" s="6"/>
      <c r="J101" s="10" t="str">
        <f aca="false">IF(SUM(H101:I101)=0,"",H101/SUM(H101:I101))</f>
        <v/>
      </c>
      <c r="K101" s="7"/>
    </row>
    <row r="102" customFormat="false" ht="15" hidden="false" customHeight="false" outlineLevel="0" collapsed="false">
      <c r="A102" s="8" t="n">
        <v>46475</v>
      </c>
      <c r="B102" s="6"/>
      <c r="C102" s="6"/>
      <c r="D102" s="10" t="str">
        <f aca="false">IF(SUM(B102:C102)=0,"",B102/SUM(B102:C102))</f>
        <v/>
      </c>
      <c r="E102" s="6"/>
      <c r="F102" s="6"/>
      <c r="G102" s="10" t="str">
        <f aca="false">IF(SUM(E102:F102)=0,"",E102/SUM(E102:F102))</f>
        <v/>
      </c>
      <c r="H102" s="6"/>
      <c r="I102" s="6"/>
      <c r="J102" s="10" t="str">
        <f aca="false">IF(SUM(H102:I102)=0,"",H102/SUM(H102:I102))</f>
        <v/>
      </c>
      <c r="K102" s="7"/>
    </row>
    <row r="103" customFormat="false" ht="15" hidden="false" customHeight="false" outlineLevel="0" collapsed="false">
      <c r="A103" s="8" t="n">
        <v>46482</v>
      </c>
      <c r="B103" s="6"/>
      <c r="C103" s="6"/>
      <c r="D103" s="10" t="str">
        <f aca="false">IF(SUM(B103:C103)=0,"",B103/SUM(B103:C103))</f>
        <v/>
      </c>
      <c r="E103" s="6"/>
      <c r="F103" s="6"/>
      <c r="G103" s="10" t="str">
        <f aca="false">IF(SUM(E103:F103)=0,"",E103/SUM(E103:F103))</f>
        <v/>
      </c>
      <c r="H103" s="6"/>
      <c r="I103" s="6"/>
      <c r="J103" s="10" t="str">
        <f aca="false">IF(SUM(H103:I103)=0,"",H103/SUM(H103:I103))</f>
        <v/>
      </c>
      <c r="K103" s="7"/>
    </row>
    <row r="104" customFormat="false" ht="15" hidden="false" customHeight="false" outlineLevel="0" collapsed="false">
      <c r="A104" s="8" t="n">
        <v>46489</v>
      </c>
      <c r="B104" s="6"/>
      <c r="C104" s="6"/>
      <c r="D104" s="10" t="str">
        <f aca="false">IF(SUM(B104:C104)=0,"",B104/SUM(B104:C104))</f>
        <v/>
      </c>
      <c r="E104" s="6"/>
      <c r="F104" s="6"/>
      <c r="G104" s="10" t="str">
        <f aca="false">IF(SUM(E104:F104)=0,"",E104/SUM(E104:F104))</f>
        <v/>
      </c>
      <c r="H104" s="6"/>
      <c r="I104" s="6"/>
      <c r="J104" s="10" t="str">
        <f aca="false">IF(SUM(H104:I104)=0,"",H104/SUM(H104:I104))</f>
        <v/>
      </c>
      <c r="K104" s="7"/>
    </row>
    <row r="105" customFormat="false" ht="15" hidden="false" customHeight="false" outlineLevel="0" collapsed="false">
      <c r="A105" s="8" t="n">
        <v>46496</v>
      </c>
      <c r="B105" s="6"/>
      <c r="C105" s="6"/>
      <c r="D105" s="10" t="str">
        <f aca="false">IF(SUM(B105:C105)=0,"",B105/SUM(B105:C105))</f>
        <v/>
      </c>
      <c r="E105" s="6"/>
      <c r="F105" s="6"/>
      <c r="G105" s="10" t="str">
        <f aca="false">IF(SUM(E105:F105)=0,"",E105/SUM(E105:F105))</f>
        <v/>
      </c>
      <c r="H105" s="6"/>
      <c r="I105" s="6"/>
      <c r="J105" s="10" t="str">
        <f aca="false">IF(SUM(H105:I105)=0,"",H105/SUM(H105:I105))</f>
        <v/>
      </c>
      <c r="K105" s="7"/>
    </row>
    <row r="106" customFormat="false" ht="15" hidden="false" customHeight="false" outlineLevel="0" collapsed="false">
      <c r="A106" s="8" t="n">
        <v>46503</v>
      </c>
      <c r="B106" s="6"/>
      <c r="C106" s="6"/>
      <c r="D106" s="10" t="str">
        <f aca="false">IF(SUM(B106:C106)=0,"",B106/SUM(B106:C106))</f>
        <v/>
      </c>
      <c r="E106" s="6"/>
      <c r="F106" s="6"/>
      <c r="G106" s="10" t="str">
        <f aca="false">IF(SUM(E106:F106)=0,"",E106/SUM(E106:F106))</f>
        <v/>
      </c>
      <c r="H106" s="6"/>
      <c r="I106" s="6"/>
      <c r="J106" s="10" t="str">
        <f aca="false">IF(SUM(H106:I106)=0,"",H106/SUM(H106:I106))</f>
        <v/>
      </c>
      <c r="K106" s="7"/>
    </row>
    <row r="107" customFormat="false" ht="15" hidden="false" customHeight="false" outlineLevel="0" collapsed="false">
      <c r="A107" s="8" t="n">
        <v>46510</v>
      </c>
      <c r="B107" s="6"/>
      <c r="C107" s="6"/>
      <c r="D107" s="10" t="str">
        <f aca="false">IF(SUM(B107:C107)=0,"",B107/SUM(B107:C107))</f>
        <v/>
      </c>
      <c r="E107" s="6"/>
      <c r="F107" s="6"/>
      <c r="G107" s="10" t="str">
        <f aca="false">IF(SUM(E107:F107)=0,"",E107/SUM(E107:F107))</f>
        <v/>
      </c>
      <c r="H107" s="6"/>
      <c r="I107" s="6"/>
      <c r="J107" s="10" t="str">
        <f aca="false">IF(SUM(H107:I107)=0,"",H107/SUM(H107:I107))</f>
        <v/>
      </c>
      <c r="K107" s="7"/>
    </row>
    <row r="108" customFormat="false" ht="15" hidden="false" customHeight="false" outlineLevel="0" collapsed="false">
      <c r="A108" s="8" t="n">
        <v>46517</v>
      </c>
      <c r="B108" s="6"/>
      <c r="C108" s="6"/>
      <c r="D108" s="10" t="str">
        <f aca="false">IF(SUM(B108:C108)=0,"",B108/SUM(B108:C108))</f>
        <v/>
      </c>
      <c r="E108" s="6"/>
      <c r="F108" s="6"/>
      <c r="G108" s="10" t="str">
        <f aca="false">IF(SUM(E108:F108)=0,"",E108/SUM(E108:F108))</f>
        <v/>
      </c>
      <c r="H108" s="6"/>
      <c r="I108" s="6"/>
      <c r="J108" s="10" t="str">
        <f aca="false">IF(SUM(H108:I108)=0,"",H108/SUM(H108:I108))</f>
        <v/>
      </c>
      <c r="K108" s="7"/>
    </row>
    <row r="109" customFormat="false" ht="15" hidden="false" customHeight="false" outlineLevel="0" collapsed="false">
      <c r="A109" s="8" t="n">
        <v>46524</v>
      </c>
      <c r="B109" s="6"/>
      <c r="C109" s="6"/>
      <c r="D109" s="10" t="str">
        <f aca="false">IF(SUM(B109:C109)=0,"",B109/SUM(B109:C109))</f>
        <v/>
      </c>
      <c r="E109" s="6"/>
      <c r="F109" s="6"/>
      <c r="G109" s="10" t="str">
        <f aca="false">IF(SUM(E109:F109)=0,"",E109/SUM(E109:F109))</f>
        <v/>
      </c>
      <c r="H109" s="6"/>
      <c r="I109" s="6"/>
      <c r="J109" s="10" t="str">
        <f aca="false">IF(SUM(H109:I109)=0,"",H109/SUM(H109:I109))</f>
        <v/>
      </c>
      <c r="K109" s="7"/>
    </row>
    <row r="110" customFormat="false" ht="15" hidden="false" customHeight="false" outlineLevel="0" collapsed="false">
      <c r="A110" s="8" t="n">
        <v>46531</v>
      </c>
      <c r="B110" s="6"/>
      <c r="C110" s="6"/>
      <c r="D110" s="10" t="str">
        <f aca="false">IF(SUM(B110:C110)=0,"",B110/SUM(B110:C110))</f>
        <v/>
      </c>
      <c r="E110" s="6"/>
      <c r="F110" s="6"/>
      <c r="G110" s="10" t="str">
        <f aca="false">IF(SUM(E110:F110)=0,"",E110/SUM(E110:F110))</f>
        <v/>
      </c>
      <c r="H110" s="6"/>
      <c r="I110" s="6"/>
      <c r="J110" s="10" t="str">
        <f aca="false">IF(SUM(H110:I110)=0,"",H110/SUM(H110:I110))</f>
        <v/>
      </c>
      <c r="K110" s="7"/>
    </row>
    <row r="111" customFormat="false" ht="15" hidden="false" customHeight="false" outlineLevel="0" collapsed="false">
      <c r="A111" s="8" t="n">
        <v>46538</v>
      </c>
      <c r="B111" s="6"/>
      <c r="C111" s="6"/>
      <c r="D111" s="10" t="str">
        <f aca="false">IF(SUM(B111:C111)=0,"",B111/SUM(B111:C111))</f>
        <v/>
      </c>
      <c r="E111" s="6"/>
      <c r="F111" s="6"/>
      <c r="G111" s="10" t="str">
        <f aca="false">IF(SUM(E111:F111)=0,"",E111/SUM(E111:F111))</f>
        <v/>
      </c>
      <c r="H111" s="6"/>
      <c r="I111" s="6"/>
      <c r="J111" s="10" t="str">
        <f aca="false">IF(SUM(H111:I111)=0,"",H111/SUM(H111:I111))</f>
        <v/>
      </c>
      <c r="K1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1"/>
  <sheetViews>
    <sheetView showFormulas="false" showGridLines="true" showRowColHeaders="true" showZeros="true" rightToLeft="false" tabSelected="false" showOutlineSymbols="true" defaultGridColor="true" view="normal" topLeftCell="A109" colorId="64" zoomScale="100" zoomScaleNormal="100" zoomScalePageLayoutView="100" workbookViewId="0">
      <selection pane="topLeft" activeCell="G119" activeCellId="0" sqref="G11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2" t="s">
        <v>72</v>
      </c>
    </row>
    <row r="3" customFormat="false" ht="15" hidden="false" customHeight="false" outlineLevel="0" collapsed="false">
      <c r="A3" s="13" t="s">
        <v>73</v>
      </c>
    </row>
    <row r="4" customFormat="false" ht="31.5" hidden="false" customHeight="true" outlineLevel="0" collapsed="false">
      <c r="A4" s="4" t="s">
        <v>57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23</v>
      </c>
      <c r="G4" s="4" t="s">
        <v>78</v>
      </c>
    </row>
    <row r="5" customFormat="false" ht="15" hidden="false" customHeight="false" outlineLevel="0" collapsed="false">
      <c r="A5" s="5" t="n">
        <v>36</v>
      </c>
      <c r="B5" s="5" t="str">
        <f aca="false">IF(COUNTIFS(Weekly_Local!$U:$U,"2022-23",Weekly_Local!$T:$T,$A5,Weekly_Local!$B:$B,"&lt;&gt;")=0,"",SUMIFS(Weekly_Local!$B:$B,Weekly_Local!$U:$U,"2022-23",Weekly_Local!$T:$T,$A5))</f>
        <v/>
      </c>
      <c r="C5" s="5" t="n">
        <f aca="false">IF(COUNTIFS(Weekly_Local!$U:$U,"2023-24",Weekly_Local!$T:$T,$A5,Weekly_Local!$B:$B,"&lt;&gt;")=0,"",SUMIFS(Weekly_Local!$B:$B,Weekly_Local!$U:$U,"2023-24",Weekly_Local!$T:$T,$A5))</f>
        <v>18</v>
      </c>
      <c r="D5" s="5" t="n">
        <f aca="false">IF(COUNTIFS(Weekly_Local!$U:$U,"2024-25",Weekly_Local!$T:$T,$A5,Weekly_Local!$B:$B,"&lt;&gt;")=0,"",SUMIFS(Weekly_Local!$B:$B,Weekly_Local!$U:$U,"2024-25",Weekly_Local!$T:$T,$A5))</f>
        <v>6</v>
      </c>
      <c r="E5" s="5" t="n">
        <f aca="false">IF(COUNTIFS(Weekly_Local!$U:$U,"2025-26",Weekly_Local!$T:$T,$A5,Weekly_Local!$B:$B,"&lt;&gt;")=0,"",SUMIFS(Weekly_Local!$B:$B,Weekly_Local!$U:$U,"2025-26",Weekly_Local!$T:$T,$A5))</f>
        <v>3</v>
      </c>
      <c r="F5" s="5" t="n">
        <v>4</v>
      </c>
      <c r="G5" s="5" t="str">
        <f aca="false">IF(AND($A5=53,DATE(YEAR(Config!$B$3),1,4)-WEEKDAY(DATE(YEAR(Config!$B$3),1,4))+1+364&gt;=DATE(YEAR(Config!$B$3)+1,1,4)-WEEKDAY(DATE(YEAR(Config!$B$3)+1,1,4))+1),"",TEXT(DATE(YEAR(Config!$B$3)+IF($A5&gt;=36,0,1),1,4)-WEEKDAY(DATE(YEAR(Config!$B$3)+IF($A5&gt;=36,0,1),1,4))+1+7*($A5-1)+1,"m/d/yy")&amp;" – "&amp;TEXT(DATE(YEAR(Config!$B$3)+IF($A5&gt;=36,0,1),1,4)-WEEKDAY(DATE(YEAR(Config!$B$3)+IF($A5&gt;=36,0,1),1,4))+1+7*($A5-1)+7,"m/d/yy"))</f>
        <v>9/7/26 – 9/13/26</v>
      </c>
    </row>
    <row r="6" customFormat="false" ht="15" hidden="false" customHeight="false" outlineLevel="0" collapsed="false">
      <c r="A6" s="5" t="n">
        <v>37</v>
      </c>
      <c r="B6" s="5" t="str">
        <f aca="false">IF(COUNTIFS(Weekly_Local!$U:$U,"2022-23",Weekly_Local!$T:$T,$A6,Weekly_Local!$B:$B,"&lt;&gt;")=0,"",SUMIFS(Weekly_Local!$B:$B,Weekly_Local!$U:$U,"2022-23",Weekly_Local!$T:$T,$A6))</f>
        <v/>
      </c>
      <c r="C6" s="5" t="n">
        <f aca="false">IF(COUNTIFS(Weekly_Local!$U:$U,"2023-24",Weekly_Local!$T:$T,$A6,Weekly_Local!$B:$B,"&lt;&gt;")=0,"",SUMIFS(Weekly_Local!$B:$B,Weekly_Local!$U:$U,"2023-24",Weekly_Local!$T:$T,$A6))</f>
        <v>5</v>
      </c>
      <c r="D6" s="5" t="n">
        <f aca="false">IF(COUNTIFS(Weekly_Local!$U:$U,"2024-25",Weekly_Local!$T:$T,$A6,Weekly_Local!$B:$B,"&lt;&gt;")=0,"",SUMIFS(Weekly_Local!$B:$B,Weekly_Local!$U:$U,"2024-25",Weekly_Local!$T:$T,$A6))</f>
        <v>3</v>
      </c>
      <c r="E6" s="5" t="n">
        <f aca="false">IF(COUNTIFS(Weekly_Local!$U:$U,"2025-26",Weekly_Local!$T:$T,$A6,Weekly_Local!$B:$B,"&lt;&gt;")=0,"",SUMIFS(Weekly_Local!$B:$B,Weekly_Local!$U:$U,"2025-26",Weekly_Local!$T:$T,$A6))</f>
        <v>3</v>
      </c>
      <c r="F6" s="5" t="n">
        <f aca="false">IF(COUNTIFS(Weekly_Local!$U:$U,"2026-27",Weekly_Local!$T:$T,$A6,Weekly_Local!$B:$B,"&lt;&gt;")=0,"",SUMIFS(Weekly_Local!$B:$B,Weekly_Local!$U:$U,"2026-27",Weekly_Local!$T:$T,$A6))</f>
        <v>5</v>
      </c>
      <c r="G6" s="5" t="str">
        <f aca="false">IF(AND($A6=53,DATE(YEAR(Config!$B$3),1,4)-WEEKDAY(DATE(YEAR(Config!$B$3),1,4))+1+364&gt;=DATE(YEAR(Config!$B$3)+1,1,4)-WEEKDAY(DATE(YEAR(Config!$B$3)+1,1,4))+1),"",TEXT(DATE(YEAR(Config!$B$3)+IF($A6&gt;=36,0,1),1,4)-WEEKDAY(DATE(YEAR(Config!$B$3)+IF($A6&gt;=36,0,1),1,4))+1+7*($A6-1)+1,"m/d/yy")&amp;" – "&amp;TEXT(DATE(YEAR(Config!$B$3)+IF($A6&gt;=36,0,1),1,4)-WEEKDAY(DATE(YEAR(Config!$B$3)+IF($A6&gt;=36,0,1),1,4))+1+7*($A6-1)+7,"m/d/yy"))</f>
        <v>9/14/26 – 9/20/26</v>
      </c>
    </row>
    <row r="7" customFormat="false" ht="15" hidden="false" customHeight="false" outlineLevel="0" collapsed="false">
      <c r="A7" s="5" t="n">
        <v>38</v>
      </c>
      <c r="B7" s="5" t="str">
        <f aca="false">IF(COUNTIFS(Weekly_Local!$U:$U,"2022-23",Weekly_Local!$T:$T,$A7,Weekly_Local!$B:$B,"&lt;&gt;")=0,"",SUMIFS(Weekly_Local!$B:$B,Weekly_Local!$U:$U,"2022-23",Weekly_Local!$T:$T,$A7))</f>
        <v/>
      </c>
      <c r="C7" s="5" t="n">
        <f aca="false">IF(COUNTIFS(Weekly_Local!$U:$U,"2023-24",Weekly_Local!$T:$T,$A7,Weekly_Local!$B:$B,"&lt;&gt;")=0,"",SUMIFS(Weekly_Local!$B:$B,Weekly_Local!$U:$U,"2023-24",Weekly_Local!$T:$T,$A7))</f>
        <v>6</v>
      </c>
      <c r="D7" s="5" t="n">
        <f aca="false">IF(COUNTIFS(Weekly_Local!$U:$U,"2024-25",Weekly_Local!$T:$T,$A7,Weekly_Local!$B:$B,"&lt;&gt;")=0,"",SUMIFS(Weekly_Local!$B:$B,Weekly_Local!$U:$U,"2024-25",Weekly_Local!$T:$T,$A7))</f>
        <v>5</v>
      </c>
      <c r="E7" s="5" t="n">
        <f aca="false">IF(COUNTIFS(Weekly_Local!$U:$U,"2025-26",Weekly_Local!$T:$T,$A7,Weekly_Local!$B:$B,"&lt;&gt;")=0,"",SUMIFS(Weekly_Local!$B:$B,Weekly_Local!$U:$U,"2025-26",Weekly_Local!$T:$T,$A7))</f>
        <v>3</v>
      </c>
      <c r="F7" s="5" t="n">
        <f aca="false">IF(COUNTIFS(Weekly_Local!$U:$U,"2026-27",Weekly_Local!$T:$T,$A7,Weekly_Local!$B:$B,"&lt;&gt;")=0,"",SUMIFS(Weekly_Local!$B:$B,Weekly_Local!$U:$U,"2026-27",Weekly_Local!$T:$T,$A7))</f>
        <v>4</v>
      </c>
      <c r="G7" s="5" t="str">
        <f aca="false">IF(AND($A7=53,DATE(YEAR(Config!$B$3),1,4)-WEEKDAY(DATE(YEAR(Config!$B$3),1,4))+1+364&gt;=DATE(YEAR(Config!$B$3)+1,1,4)-WEEKDAY(DATE(YEAR(Config!$B$3)+1,1,4))+1),"",TEXT(DATE(YEAR(Config!$B$3)+IF($A7&gt;=36,0,1),1,4)-WEEKDAY(DATE(YEAR(Config!$B$3)+IF($A7&gt;=36,0,1),1,4))+1+7*($A7-1)+1,"m/d/yy")&amp;" – "&amp;TEXT(DATE(YEAR(Config!$B$3)+IF($A7&gt;=36,0,1),1,4)-WEEKDAY(DATE(YEAR(Config!$B$3)+IF($A7&gt;=36,0,1),1,4))+1+7*($A7-1)+7,"m/d/yy"))</f>
        <v>9/21/26 – 9/27/26</v>
      </c>
    </row>
    <row r="8" customFormat="false" ht="15" hidden="false" customHeight="false" outlineLevel="0" collapsed="false">
      <c r="A8" s="5" t="n">
        <v>39</v>
      </c>
      <c r="B8" s="5" t="str">
        <f aca="false">IF(COUNTIFS(Weekly_Local!$U:$U,"2022-23",Weekly_Local!$T:$T,$A8,Weekly_Local!$B:$B,"&lt;&gt;")=0,"",SUMIFS(Weekly_Local!$B:$B,Weekly_Local!$U:$U,"2022-23",Weekly_Local!$T:$T,$A8))</f>
        <v/>
      </c>
      <c r="C8" s="5" t="n">
        <f aca="false">IF(COUNTIFS(Weekly_Local!$U:$U,"2023-24",Weekly_Local!$T:$T,$A8,Weekly_Local!$B:$B,"&lt;&gt;")=0,"",SUMIFS(Weekly_Local!$B:$B,Weekly_Local!$U:$U,"2023-24",Weekly_Local!$T:$T,$A8))</f>
        <v>5</v>
      </c>
      <c r="D8" s="5" t="n">
        <f aca="false">IF(COUNTIFS(Weekly_Local!$U:$U,"2024-25",Weekly_Local!$T:$T,$A8,Weekly_Local!$B:$B,"&lt;&gt;")=0,"",SUMIFS(Weekly_Local!$B:$B,Weekly_Local!$U:$U,"2024-25",Weekly_Local!$T:$T,$A8))</f>
        <v>8</v>
      </c>
      <c r="E8" s="5" t="n">
        <f aca="false">IF(COUNTIFS(Weekly_Local!$U:$U,"2025-26",Weekly_Local!$T:$T,$A8,Weekly_Local!$B:$B,"&lt;&gt;")=0,"",SUMIFS(Weekly_Local!$B:$B,Weekly_Local!$U:$U,"2025-26",Weekly_Local!$T:$T,$A8))</f>
        <v>1</v>
      </c>
      <c r="F8" s="5" t="n">
        <f aca="false">IF(COUNTIFS(Weekly_Local!$U:$U,"2026-27",Weekly_Local!$T:$T,$A8,Weekly_Local!$B:$B,"&lt;&gt;")=0,"",SUMIFS(Weekly_Local!$B:$B,Weekly_Local!$U:$U,"2026-27",Weekly_Local!$T:$T,$A8))</f>
        <v>4</v>
      </c>
      <c r="G8" s="5" t="str">
        <f aca="false">IF(AND($A8=53,DATE(YEAR(Config!$B$3),1,4)-WEEKDAY(DATE(YEAR(Config!$B$3),1,4))+1+364&gt;=DATE(YEAR(Config!$B$3)+1,1,4)-WEEKDAY(DATE(YEAR(Config!$B$3)+1,1,4))+1),"",TEXT(DATE(YEAR(Config!$B$3)+IF($A8&gt;=36,0,1),1,4)-WEEKDAY(DATE(YEAR(Config!$B$3)+IF($A8&gt;=36,0,1),1,4))+1+7*($A8-1)+1,"m/d/yy")&amp;" – "&amp;TEXT(DATE(YEAR(Config!$B$3)+IF($A8&gt;=36,0,1),1,4)-WEEKDAY(DATE(YEAR(Config!$B$3)+IF($A8&gt;=36,0,1),1,4))+1+7*($A8-1)+7,"m/d/yy"))</f>
        <v>9/28/26 – 10/4/26</v>
      </c>
    </row>
    <row r="9" customFormat="false" ht="15" hidden="false" customHeight="false" outlineLevel="0" collapsed="false">
      <c r="A9" s="5" t="n">
        <v>40</v>
      </c>
      <c r="B9" s="5" t="str">
        <f aca="false">IF(COUNTIFS(Weekly_Local!$U:$U,"2022-23",Weekly_Local!$T:$T,$A9,Weekly_Local!$B:$B,"&lt;&gt;")=0,"",SUMIFS(Weekly_Local!$B:$B,Weekly_Local!$U:$U,"2022-23",Weekly_Local!$T:$T,$A9))</f>
        <v/>
      </c>
      <c r="C9" s="5" t="n">
        <f aca="false">IF(COUNTIFS(Weekly_Local!$U:$U,"2023-24",Weekly_Local!$T:$T,$A9,Weekly_Local!$B:$B,"&lt;&gt;")=0,"",SUMIFS(Weekly_Local!$B:$B,Weekly_Local!$U:$U,"2023-24",Weekly_Local!$T:$T,$A9))</f>
        <v>1</v>
      </c>
      <c r="D9" s="5" t="n">
        <f aca="false">IF(COUNTIFS(Weekly_Local!$U:$U,"2024-25",Weekly_Local!$T:$T,$A9,Weekly_Local!$B:$B,"&lt;&gt;")=0,"",SUMIFS(Weekly_Local!$B:$B,Weekly_Local!$U:$U,"2024-25",Weekly_Local!$T:$T,$A9))</f>
        <v>1</v>
      </c>
      <c r="E9" s="5" t="n">
        <f aca="false">IF(COUNTIFS(Weekly_Local!$U:$U,"2025-26",Weekly_Local!$T:$T,$A9,Weekly_Local!$B:$B,"&lt;&gt;")=0,"",SUMIFS(Weekly_Local!$B:$B,Weekly_Local!$U:$U,"2025-26",Weekly_Local!$T:$T,$A9))</f>
        <v>2</v>
      </c>
      <c r="F9" s="5" t="n">
        <f aca="false">IF(COUNTIFS(Weekly_Local!$U:$U,"2026-27",Weekly_Local!$T:$T,$A9,Weekly_Local!$B:$B,"&lt;&gt;")=0,"",SUMIFS(Weekly_Local!$B:$B,Weekly_Local!$U:$U,"2026-27",Weekly_Local!$T:$T,$A9))</f>
        <v>1</v>
      </c>
      <c r="G9" s="5" t="str">
        <f aca="false">IF(AND($A9=53,DATE(YEAR(Config!$B$3),1,4)-WEEKDAY(DATE(YEAR(Config!$B$3),1,4))+1+364&gt;=DATE(YEAR(Config!$B$3)+1,1,4)-WEEKDAY(DATE(YEAR(Config!$B$3)+1,1,4))+1),"",TEXT(DATE(YEAR(Config!$B$3)+IF($A9&gt;=36,0,1),1,4)-WEEKDAY(DATE(YEAR(Config!$B$3)+IF($A9&gt;=36,0,1),1,4))+1+7*($A9-1)+1,"m/d/yy")&amp;" – "&amp;TEXT(DATE(YEAR(Config!$B$3)+IF($A9&gt;=36,0,1),1,4)-WEEKDAY(DATE(YEAR(Config!$B$3)+IF($A9&gt;=36,0,1),1,4))+1+7*($A9-1)+7,"m/d/yy"))</f>
        <v>10/5/26 – 10/11/26</v>
      </c>
    </row>
    <row r="10" customFormat="false" ht="15" hidden="false" customHeight="false" outlineLevel="0" collapsed="false">
      <c r="A10" s="5" t="n">
        <v>41</v>
      </c>
      <c r="B10" s="5" t="str">
        <f aca="false">IF(COUNTIFS(Weekly_Local!$U:$U,"2022-23",Weekly_Local!$T:$T,$A10,Weekly_Local!$B:$B,"&lt;&gt;")=0,"",SUMIFS(Weekly_Local!$B:$B,Weekly_Local!$U:$U,"2022-23",Weekly_Local!$T:$T,$A10))</f>
        <v/>
      </c>
      <c r="C10" s="5" t="n">
        <f aca="false">IF(COUNTIFS(Weekly_Local!$U:$U,"2023-24",Weekly_Local!$T:$T,$A10,Weekly_Local!$B:$B,"&lt;&gt;")=0,"",SUMIFS(Weekly_Local!$B:$B,Weekly_Local!$U:$U,"2023-24",Weekly_Local!$T:$T,$A10))</f>
        <v>14</v>
      </c>
      <c r="D10" s="5" t="n">
        <f aca="false">IF(COUNTIFS(Weekly_Local!$U:$U,"2024-25",Weekly_Local!$T:$T,$A10,Weekly_Local!$B:$B,"&lt;&gt;")=0,"",SUMIFS(Weekly_Local!$B:$B,Weekly_Local!$U:$U,"2024-25",Weekly_Local!$T:$T,$A10))</f>
        <v>1</v>
      </c>
      <c r="E10" s="5" t="n">
        <f aca="false">IF(COUNTIFS(Weekly_Local!$U:$U,"2025-26",Weekly_Local!$T:$T,$A10,Weekly_Local!$B:$B,"&lt;&gt;")=0,"",SUMIFS(Weekly_Local!$B:$B,Weekly_Local!$U:$U,"2025-26",Weekly_Local!$T:$T,$A10))</f>
        <v>1</v>
      </c>
      <c r="F10" s="5" t="str">
        <f aca="false">IF(COUNTIFS(Weekly_Local!$U:$U,"2026-27",Weekly_Local!$T:$T,$A10,Weekly_Local!$B:$B,"&lt;&gt;")=0,"",SUMIFS(Weekly_Local!$B:$B,Weekly_Local!$U:$U,"2026-27",Weekly_Local!$T:$T,$A10))</f>
        <v/>
      </c>
      <c r="G10" s="5" t="str">
        <f aca="false">IF(AND($A10=53,DATE(YEAR(Config!$B$3),1,4)-WEEKDAY(DATE(YEAR(Config!$B$3),1,4))+1+364&gt;=DATE(YEAR(Config!$B$3)+1,1,4)-WEEKDAY(DATE(YEAR(Config!$B$3)+1,1,4))+1),"",TEXT(DATE(YEAR(Config!$B$3)+IF($A10&gt;=36,0,1),1,4)-WEEKDAY(DATE(YEAR(Config!$B$3)+IF($A10&gt;=36,0,1),1,4))+1+7*($A10-1)+1,"m/d/yy")&amp;" – "&amp;TEXT(DATE(YEAR(Config!$B$3)+IF($A10&gt;=36,0,1),1,4)-WEEKDAY(DATE(YEAR(Config!$B$3)+IF($A10&gt;=36,0,1),1,4))+1+7*($A10-1)+7,"m/d/yy"))</f>
        <v>10/12/26 – 10/18/26</v>
      </c>
    </row>
    <row r="11" customFormat="false" ht="15" hidden="false" customHeight="false" outlineLevel="0" collapsed="false">
      <c r="A11" s="5" t="n">
        <v>42</v>
      </c>
      <c r="B11" s="5" t="str">
        <f aca="false">IF(COUNTIFS(Weekly_Local!$U:$U,"2022-23",Weekly_Local!$T:$T,$A11,Weekly_Local!$B:$B,"&lt;&gt;")=0,"",SUMIFS(Weekly_Local!$B:$B,Weekly_Local!$U:$U,"2022-23",Weekly_Local!$T:$T,$A11))</f>
        <v/>
      </c>
      <c r="C11" s="5" t="n">
        <f aca="false">IF(COUNTIFS(Weekly_Local!$U:$U,"2023-24",Weekly_Local!$T:$T,$A11,Weekly_Local!$B:$B,"&lt;&gt;")=0,"",SUMIFS(Weekly_Local!$B:$B,Weekly_Local!$U:$U,"2023-24",Weekly_Local!$T:$T,$A11))</f>
        <v>7</v>
      </c>
      <c r="D11" s="5" t="n">
        <f aca="false">IF(COUNTIFS(Weekly_Local!$U:$U,"2024-25",Weekly_Local!$T:$T,$A11,Weekly_Local!$B:$B,"&lt;&gt;")=0,"",SUMIFS(Weekly_Local!$B:$B,Weekly_Local!$U:$U,"2024-25",Weekly_Local!$T:$T,$A11))</f>
        <v>2</v>
      </c>
      <c r="E11" s="5" t="n">
        <f aca="false">IF(COUNTIFS(Weekly_Local!$U:$U,"2025-26",Weekly_Local!$T:$T,$A11,Weekly_Local!$B:$B,"&lt;&gt;")=0,"",SUMIFS(Weekly_Local!$B:$B,Weekly_Local!$U:$U,"2025-26",Weekly_Local!$T:$T,$A11))</f>
        <v>0</v>
      </c>
      <c r="F11" s="5" t="str">
        <f aca="false">IF(COUNTIFS(Weekly_Local!$U:$U,"2026-27",Weekly_Local!$T:$T,$A11,Weekly_Local!$B:$B,"&lt;&gt;")=0,"",SUMIFS(Weekly_Local!$B:$B,Weekly_Local!$U:$U,"2026-27",Weekly_Local!$T:$T,$A11))</f>
        <v/>
      </c>
      <c r="G11" s="5" t="str">
        <f aca="false">IF(AND($A11=53,DATE(YEAR(Config!$B$3),1,4)-WEEKDAY(DATE(YEAR(Config!$B$3),1,4))+1+364&gt;=DATE(YEAR(Config!$B$3)+1,1,4)-WEEKDAY(DATE(YEAR(Config!$B$3)+1,1,4))+1),"",TEXT(DATE(YEAR(Config!$B$3)+IF($A11&gt;=36,0,1),1,4)-WEEKDAY(DATE(YEAR(Config!$B$3)+IF($A11&gt;=36,0,1),1,4))+1+7*($A11-1)+1,"m/d/yy")&amp;" – "&amp;TEXT(DATE(YEAR(Config!$B$3)+IF($A11&gt;=36,0,1),1,4)-WEEKDAY(DATE(YEAR(Config!$B$3)+IF($A11&gt;=36,0,1),1,4))+1+7*($A11-1)+7,"m/d/yy"))</f>
        <v>10/19/26 – 10/25/26</v>
      </c>
    </row>
    <row r="12" customFormat="false" ht="15" hidden="false" customHeight="false" outlineLevel="0" collapsed="false">
      <c r="A12" s="5" t="n">
        <v>43</v>
      </c>
      <c r="B12" s="5" t="str">
        <f aca="false">IF(COUNTIFS(Weekly_Local!$U:$U,"2022-23",Weekly_Local!$T:$T,$A12,Weekly_Local!$B:$B,"&lt;&gt;")=0,"",SUMIFS(Weekly_Local!$B:$B,Weekly_Local!$U:$U,"2022-23",Weekly_Local!$T:$T,$A12))</f>
        <v/>
      </c>
      <c r="C12" s="5" t="n">
        <f aca="false">IF(COUNTIFS(Weekly_Local!$U:$U,"2023-24",Weekly_Local!$T:$T,$A12,Weekly_Local!$B:$B,"&lt;&gt;")=0,"",SUMIFS(Weekly_Local!$B:$B,Weekly_Local!$U:$U,"2023-24",Weekly_Local!$T:$T,$A12))</f>
        <v>0</v>
      </c>
      <c r="D12" s="5" t="n">
        <f aca="false">IF(COUNTIFS(Weekly_Local!$U:$U,"2024-25",Weekly_Local!$T:$T,$A12,Weekly_Local!$B:$B,"&lt;&gt;")=0,"",SUMIFS(Weekly_Local!$B:$B,Weekly_Local!$U:$U,"2024-25",Weekly_Local!$T:$T,$A12))</f>
        <v>3</v>
      </c>
      <c r="E12" s="5" t="n">
        <f aca="false">IF(COUNTIFS(Weekly_Local!$U:$U,"2025-26",Weekly_Local!$T:$T,$A12,Weekly_Local!$B:$B,"&lt;&gt;")=0,"",SUMIFS(Weekly_Local!$B:$B,Weekly_Local!$U:$U,"2025-26",Weekly_Local!$T:$T,$A12))</f>
        <v>0</v>
      </c>
      <c r="F12" s="5" t="str">
        <f aca="false">IF(COUNTIFS(Weekly_Local!$U:$U,"2026-27",Weekly_Local!$T:$T,$A12,Weekly_Local!$B:$B,"&lt;&gt;")=0,"",SUMIFS(Weekly_Local!$B:$B,Weekly_Local!$U:$U,"2026-27",Weekly_Local!$T:$T,$A12))</f>
        <v/>
      </c>
      <c r="G12" s="5" t="str">
        <f aca="false">IF(AND($A12=53,DATE(YEAR(Config!$B$3),1,4)-WEEKDAY(DATE(YEAR(Config!$B$3),1,4))+1+364&gt;=DATE(YEAR(Config!$B$3)+1,1,4)-WEEKDAY(DATE(YEAR(Config!$B$3)+1,1,4))+1),"",TEXT(DATE(YEAR(Config!$B$3)+IF($A12&gt;=36,0,1),1,4)-WEEKDAY(DATE(YEAR(Config!$B$3)+IF($A12&gt;=36,0,1),1,4))+1+7*($A12-1)+1,"m/d/yy")&amp;" – "&amp;TEXT(DATE(YEAR(Config!$B$3)+IF($A12&gt;=36,0,1),1,4)-WEEKDAY(DATE(YEAR(Config!$B$3)+IF($A12&gt;=36,0,1),1,4))+1+7*($A12-1)+7,"m/d/yy"))</f>
        <v>10/26/26 – 11/1/26</v>
      </c>
    </row>
    <row r="13" customFormat="false" ht="15" hidden="false" customHeight="false" outlineLevel="0" collapsed="false">
      <c r="A13" s="5" t="n">
        <v>44</v>
      </c>
      <c r="B13" s="5" t="str">
        <f aca="false">IF(COUNTIFS(Weekly_Local!$U:$U,"2022-23",Weekly_Local!$T:$T,$A13,Weekly_Local!$B:$B,"&lt;&gt;")=0,"",SUMIFS(Weekly_Local!$B:$B,Weekly_Local!$U:$U,"2022-23",Weekly_Local!$T:$T,$A13))</f>
        <v/>
      </c>
      <c r="C13" s="5" t="n">
        <f aca="false">IF(COUNTIFS(Weekly_Local!$U:$U,"2023-24",Weekly_Local!$T:$T,$A13,Weekly_Local!$B:$B,"&lt;&gt;")=0,"",SUMIFS(Weekly_Local!$B:$B,Weekly_Local!$U:$U,"2023-24",Weekly_Local!$T:$T,$A13))</f>
        <v>13</v>
      </c>
      <c r="D13" s="5" t="n">
        <f aca="false">IF(COUNTIFS(Weekly_Local!$U:$U,"2024-25",Weekly_Local!$T:$T,$A13,Weekly_Local!$B:$B,"&lt;&gt;")=0,"",SUMIFS(Weekly_Local!$B:$B,Weekly_Local!$U:$U,"2024-25",Weekly_Local!$T:$T,$A13))</f>
        <v>2</v>
      </c>
      <c r="E13" s="5" t="n">
        <f aca="false">IF(COUNTIFS(Weekly_Local!$U:$U,"2025-26",Weekly_Local!$T:$T,$A13,Weekly_Local!$B:$B,"&lt;&gt;")=0,"",SUMIFS(Weekly_Local!$B:$B,Weekly_Local!$U:$U,"2025-26",Weekly_Local!$T:$T,$A13))</f>
        <v>0</v>
      </c>
      <c r="F13" s="5" t="str">
        <f aca="false">IF(COUNTIFS(Weekly_Local!$U:$U,"2026-27",Weekly_Local!$T:$T,$A13,Weekly_Local!$B:$B,"&lt;&gt;")=0,"",SUMIFS(Weekly_Local!$B:$B,Weekly_Local!$U:$U,"2026-27",Weekly_Local!$T:$T,$A13))</f>
        <v/>
      </c>
      <c r="G13" s="5" t="str">
        <f aca="false">IF(AND($A13=53,DATE(YEAR(Config!$B$3),1,4)-WEEKDAY(DATE(YEAR(Config!$B$3),1,4))+1+364&gt;=DATE(YEAR(Config!$B$3)+1,1,4)-WEEKDAY(DATE(YEAR(Config!$B$3)+1,1,4))+1),"",TEXT(DATE(YEAR(Config!$B$3)+IF($A13&gt;=36,0,1),1,4)-WEEKDAY(DATE(YEAR(Config!$B$3)+IF($A13&gt;=36,0,1),1,4))+1+7*($A13-1)+1,"m/d/yy")&amp;" – "&amp;TEXT(DATE(YEAR(Config!$B$3)+IF($A13&gt;=36,0,1),1,4)-WEEKDAY(DATE(YEAR(Config!$B$3)+IF($A13&gt;=36,0,1),1,4))+1+7*($A13-1)+7,"m/d/yy"))</f>
        <v>11/2/26 – 11/8/26</v>
      </c>
    </row>
    <row r="14" customFormat="false" ht="15" hidden="false" customHeight="false" outlineLevel="0" collapsed="false">
      <c r="A14" s="5" t="n">
        <v>45</v>
      </c>
      <c r="B14" s="5" t="str">
        <f aca="false">IF(COUNTIFS(Weekly_Local!$U:$U,"2022-23",Weekly_Local!$T:$T,$A14,Weekly_Local!$B:$B,"&lt;&gt;")=0,"",SUMIFS(Weekly_Local!$B:$B,Weekly_Local!$U:$U,"2022-23",Weekly_Local!$T:$T,$A14))</f>
        <v/>
      </c>
      <c r="C14" s="5" t="n">
        <f aca="false">IF(COUNTIFS(Weekly_Local!$U:$U,"2023-24",Weekly_Local!$T:$T,$A14,Weekly_Local!$B:$B,"&lt;&gt;")=0,"",SUMIFS(Weekly_Local!$B:$B,Weekly_Local!$U:$U,"2023-24",Weekly_Local!$T:$T,$A14))</f>
        <v>6</v>
      </c>
      <c r="D14" s="5" t="n">
        <f aca="false">IF(COUNTIFS(Weekly_Local!$U:$U,"2024-25",Weekly_Local!$T:$T,$A14,Weekly_Local!$B:$B,"&lt;&gt;")=0,"",SUMIFS(Weekly_Local!$B:$B,Weekly_Local!$U:$U,"2024-25",Weekly_Local!$T:$T,$A14))</f>
        <v>2</v>
      </c>
      <c r="E14" s="5" t="n">
        <f aca="false">IF(COUNTIFS(Weekly_Local!$U:$U,"2025-26",Weekly_Local!$T:$T,$A14,Weekly_Local!$B:$B,"&lt;&gt;")=0,"",SUMIFS(Weekly_Local!$B:$B,Weekly_Local!$U:$U,"2025-26",Weekly_Local!$T:$T,$A14))</f>
        <v>2</v>
      </c>
      <c r="F14" s="5" t="str">
        <f aca="false">IF(COUNTIFS(Weekly_Local!$U:$U,"2026-27",Weekly_Local!$T:$T,$A14,Weekly_Local!$B:$B,"&lt;&gt;")=0,"",SUMIFS(Weekly_Local!$B:$B,Weekly_Local!$U:$U,"2026-27",Weekly_Local!$T:$T,$A14))</f>
        <v/>
      </c>
      <c r="G14" s="5" t="str">
        <f aca="false">IF(AND($A14=53,DATE(YEAR(Config!$B$3),1,4)-WEEKDAY(DATE(YEAR(Config!$B$3),1,4))+1+364&gt;=DATE(YEAR(Config!$B$3)+1,1,4)-WEEKDAY(DATE(YEAR(Config!$B$3)+1,1,4))+1),"",TEXT(DATE(YEAR(Config!$B$3)+IF($A14&gt;=36,0,1),1,4)-WEEKDAY(DATE(YEAR(Config!$B$3)+IF($A14&gt;=36,0,1),1,4))+1+7*($A14-1)+1,"m/d/yy")&amp;" – "&amp;TEXT(DATE(YEAR(Config!$B$3)+IF($A14&gt;=36,0,1),1,4)-WEEKDAY(DATE(YEAR(Config!$B$3)+IF($A14&gt;=36,0,1),1,4))+1+7*($A14-1)+7,"m/d/yy"))</f>
        <v>11/9/26 – 11/15/26</v>
      </c>
    </row>
    <row r="15" customFormat="false" ht="15" hidden="false" customHeight="false" outlineLevel="0" collapsed="false">
      <c r="A15" s="5" t="n">
        <v>46</v>
      </c>
      <c r="B15" s="5" t="str">
        <f aca="false">IF(COUNTIFS(Weekly_Local!$U:$U,"2022-23",Weekly_Local!$T:$T,$A15,Weekly_Local!$B:$B,"&lt;&gt;")=0,"",SUMIFS(Weekly_Local!$B:$B,Weekly_Local!$U:$U,"2022-23",Weekly_Local!$T:$T,$A15))</f>
        <v/>
      </c>
      <c r="C15" s="5" t="n">
        <f aca="false">IF(COUNTIFS(Weekly_Local!$U:$U,"2023-24",Weekly_Local!$T:$T,$A15,Weekly_Local!$B:$B,"&lt;&gt;")=0,"",SUMIFS(Weekly_Local!$B:$B,Weekly_Local!$U:$U,"2023-24",Weekly_Local!$T:$T,$A15))</f>
        <v>0</v>
      </c>
      <c r="D15" s="5" t="n">
        <f aca="false">IF(COUNTIFS(Weekly_Local!$U:$U,"2024-25",Weekly_Local!$T:$T,$A15,Weekly_Local!$B:$B,"&lt;&gt;")=0,"",SUMIFS(Weekly_Local!$B:$B,Weekly_Local!$U:$U,"2024-25",Weekly_Local!$T:$T,$A15))</f>
        <v>1</v>
      </c>
      <c r="E15" s="5" t="n">
        <f aca="false">IF(COUNTIFS(Weekly_Local!$U:$U,"2025-26",Weekly_Local!$T:$T,$A15,Weekly_Local!$B:$B,"&lt;&gt;")=0,"",SUMIFS(Weekly_Local!$B:$B,Weekly_Local!$U:$U,"2025-26",Weekly_Local!$T:$T,$A15))</f>
        <v>2</v>
      </c>
      <c r="F15" s="5" t="str">
        <f aca="false">IF(COUNTIFS(Weekly_Local!$U:$U,"2026-27",Weekly_Local!$T:$T,$A15,Weekly_Local!$B:$B,"&lt;&gt;")=0,"",SUMIFS(Weekly_Local!$B:$B,Weekly_Local!$U:$U,"2026-27",Weekly_Local!$T:$T,$A15))</f>
        <v/>
      </c>
      <c r="G15" s="5" t="str">
        <f aca="false">IF(AND($A15=53,DATE(YEAR(Config!$B$3),1,4)-WEEKDAY(DATE(YEAR(Config!$B$3),1,4))+1+364&gt;=DATE(YEAR(Config!$B$3)+1,1,4)-WEEKDAY(DATE(YEAR(Config!$B$3)+1,1,4))+1),"",TEXT(DATE(YEAR(Config!$B$3)+IF($A15&gt;=36,0,1),1,4)-WEEKDAY(DATE(YEAR(Config!$B$3)+IF($A15&gt;=36,0,1),1,4))+1+7*($A15-1)+1,"m/d/yy")&amp;" – "&amp;TEXT(DATE(YEAR(Config!$B$3)+IF($A15&gt;=36,0,1),1,4)-WEEKDAY(DATE(YEAR(Config!$B$3)+IF($A15&gt;=36,0,1),1,4))+1+7*($A15-1)+7,"m/d/yy"))</f>
        <v>11/16/26 – 11/22/26</v>
      </c>
    </row>
    <row r="16" customFormat="false" ht="15" hidden="false" customHeight="false" outlineLevel="0" collapsed="false">
      <c r="A16" s="5" t="n">
        <v>47</v>
      </c>
      <c r="B16" s="5" t="str">
        <f aca="false">IF(COUNTIFS(Weekly_Local!$U:$U,"2022-23",Weekly_Local!$T:$T,$A16,Weekly_Local!$B:$B,"&lt;&gt;")=0,"",SUMIFS(Weekly_Local!$B:$B,Weekly_Local!$U:$U,"2022-23",Weekly_Local!$T:$T,$A16))</f>
        <v/>
      </c>
      <c r="C16" s="5" t="n">
        <f aca="false">IF(COUNTIFS(Weekly_Local!$U:$U,"2023-24",Weekly_Local!$T:$T,$A16,Weekly_Local!$B:$B,"&lt;&gt;")=0,"",SUMIFS(Weekly_Local!$B:$B,Weekly_Local!$U:$U,"2023-24",Weekly_Local!$T:$T,$A16))</f>
        <v>2</v>
      </c>
      <c r="D16" s="5" t="n">
        <f aca="false">IF(COUNTIFS(Weekly_Local!$U:$U,"2024-25",Weekly_Local!$T:$T,$A16,Weekly_Local!$B:$B,"&lt;&gt;")=0,"",SUMIFS(Weekly_Local!$B:$B,Weekly_Local!$U:$U,"2024-25",Weekly_Local!$T:$T,$A16))</f>
        <v>0</v>
      </c>
      <c r="E16" s="5" t="n">
        <f aca="false">IF(COUNTIFS(Weekly_Local!$U:$U,"2025-26",Weekly_Local!$T:$T,$A16,Weekly_Local!$B:$B,"&lt;&gt;")=0,"",SUMIFS(Weekly_Local!$B:$B,Weekly_Local!$U:$U,"2025-26",Weekly_Local!$T:$T,$A16))</f>
        <v>0</v>
      </c>
      <c r="F16" s="5" t="str">
        <f aca="false">IF(COUNTIFS(Weekly_Local!$U:$U,"2026-27",Weekly_Local!$T:$T,$A16,Weekly_Local!$B:$B,"&lt;&gt;")=0,"",SUMIFS(Weekly_Local!$B:$B,Weekly_Local!$U:$U,"2026-27",Weekly_Local!$T:$T,$A16))</f>
        <v/>
      </c>
      <c r="G16" s="5" t="str">
        <f aca="false">IF(AND($A16=53,DATE(YEAR(Config!$B$3),1,4)-WEEKDAY(DATE(YEAR(Config!$B$3),1,4))+1+364&gt;=DATE(YEAR(Config!$B$3)+1,1,4)-WEEKDAY(DATE(YEAR(Config!$B$3)+1,1,4))+1),"",TEXT(DATE(YEAR(Config!$B$3)+IF($A16&gt;=36,0,1),1,4)-WEEKDAY(DATE(YEAR(Config!$B$3)+IF($A16&gt;=36,0,1),1,4))+1+7*($A16-1)+1,"m/d/yy")&amp;" – "&amp;TEXT(DATE(YEAR(Config!$B$3)+IF($A16&gt;=36,0,1),1,4)-WEEKDAY(DATE(YEAR(Config!$B$3)+IF($A16&gt;=36,0,1),1,4))+1+7*($A16-1)+7,"m/d/yy"))</f>
        <v>11/23/26 – 11/29/26</v>
      </c>
    </row>
    <row r="17" customFormat="false" ht="15" hidden="false" customHeight="false" outlineLevel="0" collapsed="false">
      <c r="A17" s="5" t="n">
        <v>48</v>
      </c>
      <c r="B17" s="5" t="n">
        <f aca="false">IF(COUNTIFS(Weekly_Local!$U:$U,"2022-23",Weekly_Local!$T:$T,$A17,Weekly_Local!$B:$B,"&lt;&gt;")=0,"",SUMIFS(Weekly_Local!$B:$B,Weekly_Local!$U:$U,"2022-23",Weekly_Local!$T:$T,$A17))</f>
        <v>2</v>
      </c>
      <c r="C17" s="5" t="n">
        <f aca="false">IF(COUNTIFS(Weekly_Local!$U:$U,"2023-24",Weekly_Local!$T:$T,$A17,Weekly_Local!$B:$B,"&lt;&gt;")=0,"",SUMIFS(Weekly_Local!$B:$B,Weekly_Local!$U:$U,"2023-24",Weekly_Local!$T:$T,$A17))</f>
        <v>9</v>
      </c>
      <c r="D17" s="5" t="n">
        <f aca="false">IF(COUNTIFS(Weekly_Local!$U:$U,"2024-25",Weekly_Local!$T:$T,$A17,Weekly_Local!$B:$B,"&lt;&gt;")=0,"",SUMIFS(Weekly_Local!$B:$B,Weekly_Local!$U:$U,"2024-25",Weekly_Local!$T:$T,$A17))</f>
        <v>1</v>
      </c>
      <c r="E17" s="5" t="n">
        <f aca="false">IF(COUNTIFS(Weekly_Local!$U:$U,"2025-26",Weekly_Local!$T:$T,$A17,Weekly_Local!$B:$B,"&lt;&gt;")=0,"",SUMIFS(Weekly_Local!$B:$B,Weekly_Local!$U:$U,"2025-26",Weekly_Local!$T:$T,$A17))</f>
        <v>3</v>
      </c>
      <c r="F17" s="5" t="str">
        <f aca="false">IF(COUNTIFS(Weekly_Local!$U:$U,"2026-27",Weekly_Local!$T:$T,$A17,Weekly_Local!$B:$B,"&lt;&gt;")=0,"",SUMIFS(Weekly_Local!$B:$B,Weekly_Local!$U:$U,"2026-27",Weekly_Local!$T:$T,$A17))</f>
        <v/>
      </c>
      <c r="G17" s="5" t="str">
        <f aca="false">IF(AND($A17=53,DATE(YEAR(Config!$B$3),1,4)-WEEKDAY(DATE(YEAR(Config!$B$3),1,4))+1+364&gt;=DATE(YEAR(Config!$B$3)+1,1,4)-WEEKDAY(DATE(YEAR(Config!$B$3)+1,1,4))+1),"",TEXT(DATE(YEAR(Config!$B$3)+IF($A17&gt;=36,0,1),1,4)-WEEKDAY(DATE(YEAR(Config!$B$3)+IF($A17&gt;=36,0,1),1,4))+1+7*($A17-1)+1,"m/d/yy")&amp;" – "&amp;TEXT(DATE(YEAR(Config!$B$3)+IF($A17&gt;=36,0,1),1,4)-WEEKDAY(DATE(YEAR(Config!$B$3)+IF($A17&gt;=36,0,1),1,4))+1+7*($A17-1)+7,"m/d/yy"))</f>
        <v>11/30/26 – 12/6/26</v>
      </c>
    </row>
    <row r="18" customFormat="false" ht="15" hidden="false" customHeight="false" outlineLevel="0" collapsed="false">
      <c r="A18" s="5" t="n">
        <v>49</v>
      </c>
      <c r="B18" s="5" t="n">
        <f aca="false">IF(COUNTIFS(Weekly_Local!$U:$U,"2022-23",Weekly_Local!$T:$T,$A18,Weekly_Local!$B:$B,"&lt;&gt;")=0,"",SUMIFS(Weekly_Local!$B:$B,Weekly_Local!$U:$U,"2022-23",Weekly_Local!$T:$T,$A18))</f>
        <v>8</v>
      </c>
      <c r="C18" s="5" t="n">
        <f aca="false">IF(COUNTIFS(Weekly_Local!$U:$U,"2023-24",Weekly_Local!$T:$T,$A18,Weekly_Local!$B:$B,"&lt;&gt;")=0,"",SUMIFS(Weekly_Local!$B:$B,Weekly_Local!$U:$U,"2023-24",Weekly_Local!$T:$T,$A18))</f>
        <v>4</v>
      </c>
      <c r="D18" s="5" t="n">
        <f aca="false">IF(COUNTIFS(Weekly_Local!$U:$U,"2024-25",Weekly_Local!$T:$T,$A18,Weekly_Local!$B:$B,"&lt;&gt;")=0,"",SUMIFS(Weekly_Local!$B:$B,Weekly_Local!$U:$U,"2024-25",Weekly_Local!$T:$T,$A18))</f>
        <v>2</v>
      </c>
      <c r="E18" s="5" t="n">
        <f aca="false">IF(COUNTIFS(Weekly_Local!$U:$U,"2025-26",Weekly_Local!$T:$T,$A18,Weekly_Local!$B:$B,"&lt;&gt;")=0,"",SUMIFS(Weekly_Local!$B:$B,Weekly_Local!$U:$U,"2025-26",Weekly_Local!$T:$T,$A18))</f>
        <v>5</v>
      </c>
      <c r="F18" s="5" t="str">
        <f aca="false">IF(COUNTIFS(Weekly_Local!$U:$U,"2026-27",Weekly_Local!$T:$T,$A18,Weekly_Local!$B:$B,"&lt;&gt;")=0,"",SUMIFS(Weekly_Local!$B:$B,Weekly_Local!$U:$U,"2026-27",Weekly_Local!$T:$T,$A18))</f>
        <v/>
      </c>
      <c r="G18" s="5" t="str">
        <f aca="false">IF(AND($A18=53,DATE(YEAR(Config!$B$3),1,4)-WEEKDAY(DATE(YEAR(Config!$B$3),1,4))+1+364&gt;=DATE(YEAR(Config!$B$3)+1,1,4)-WEEKDAY(DATE(YEAR(Config!$B$3)+1,1,4))+1),"",TEXT(DATE(YEAR(Config!$B$3)+IF($A18&gt;=36,0,1),1,4)-WEEKDAY(DATE(YEAR(Config!$B$3)+IF($A18&gt;=36,0,1),1,4))+1+7*($A18-1)+1,"m/d/yy")&amp;" – "&amp;TEXT(DATE(YEAR(Config!$B$3)+IF($A18&gt;=36,0,1),1,4)-WEEKDAY(DATE(YEAR(Config!$B$3)+IF($A18&gt;=36,0,1),1,4))+1+7*($A18-1)+7,"m/d/yy"))</f>
        <v>12/7/26 – 12/13/26</v>
      </c>
    </row>
    <row r="19" customFormat="false" ht="15" hidden="false" customHeight="false" outlineLevel="0" collapsed="false">
      <c r="A19" s="5" t="n">
        <v>50</v>
      </c>
      <c r="B19" s="5" t="n">
        <f aca="false">IF(COUNTIFS(Weekly_Local!$U:$U,"2022-23",Weekly_Local!$T:$T,$A19,Weekly_Local!$B:$B,"&lt;&gt;")=0,"",SUMIFS(Weekly_Local!$B:$B,Weekly_Local!$U:$U,"2022-23",Weekly_Local!$T:$T,$A19))</f>
        <v>5</v>
      </c>
      <c r="C19" s="5" t="n">
        <f aca="false">IF(COUNTIFS(Weekly_Local!$U:$U,"2023-24",Weekly_Local!$T:$T,$A19,Weekly_Local!$B:$B,"&lt;&gt;")=0,"",SUMIFS(Weekly_Local!$B:$B,Weekly_Local!$U:$U,"2023-24",Weekly_Local!$T:$T,$A19))</f>
        <v>5</v>
      </c>
      <c r="D19" s="5" t="n">
        <f aca="false">IF(COUNTIFS(Weekly_Local!$U:$U,"2024-25",Weekly_Local!$T:$T,$A19,Weekly_Local!$B:$B,"&lt;&gt;")=0,"",SUMIFS(Weekly_Local!$B:$B,Weekly_Local!$U:$U,"2024-25",Weekly_Local!$T:$T,$A19))</f>
        <v>1</v>
      </c>
      <c r="E19" s="5" t="n">
        <f aca="false">IF(COUNTIFS(Weekly_Local!$U:$U,"2025-26",Weekly_Local!$T:$T,$A19,Weekly_Local!$B:$B,"&lt;&gt;")=0,"",SUMIFS(Weekly_Local!$B:$B,Weekly_Local!$U:$U,"2025-26",Weekly_Local!$T:$T,$A19))</f>
        <v>0</v>
      </c>
      <c r="F19" s="5" t="str">
        <f aca="false">IF(COUNTIFS(Weekly_Local!$U:$U,"2026-27",Weekly_Local!$T:$T,$A19,Weekly_Local!$B:$B,"&lt;&gt;")=0,"",SUMIFS(Weekly_Local!$B:$B,Weekly_Local!$U:$U,"2026-27",Weekly_Local!$T:$T,$A19))</f>
        <v/>
      </c>
      <c r="G19" s="5" t="str">
        <f aca="false">IF(AND($A19=53,DATE(YEAR(Config!$B$3),1,4)-WEEKDAY(DATE(YEAR(Config!$B$3),1,4))+1+364&gt;=DATE(YEAR(Config!$B$3)+1,1,4)-WEEKDAY(DATE(YEAR(Config!$B$3)+1,1,4))+1),"",TEXT(DATE(YEAR(Config!$B$3)+IF($A19&gt;=36,0,1),1,4)-WEEKDAY(DATE(YEAR(Config!$B$3)+IF($A19&gt;=36,0,1),1,4))+1+7*($A19-1)+1,"m/d/yy")&amp;" – "&amp;TEXT(DATE(YEAR(Config!$B$3)+IF($A19&gt;=36,0,1),1,4)-WEEKDAY(DATE(YEAR(Config!$B$3)+IF($A19&gt;=36,0,1),1,4))+1+7*($A19-1)+7,"m/d/yy"))</f>
        <v>12/14/26 – 12/20/26</v>
      </c>
    </row>
    <row r="20" customFormat="false" ht="15" hidden="false" customHeight="false" outlineLevel="0" collapsed="false">
      <c r="A20" s="5" t="n">
        <v>51</v>
      </c>
      <c r="B20" s="5" t="n">
        <f aca="false">IF(COUNTIFS(Weekly_Local!$U:$U,"2022-23",Weekly_Local!$T:$T,$A20,Weekly_Local!$B:$B,"&lt;&gt;")=0,"",SUMIFS(Weekly_Local!$B:$B,Weekly_Local!$U:$U,"2022-23",Weekly_Local!$T:$T,$A20))</f>
        <v>16</v>
      </c>
      <c r="C20" s="5" t="n">
        <f aca="false">IF(COUNTIFS(Weekly_Local!$U:$U,"2023-24",Weekly_Local!$T:$T,$A20,Weekly_Local!$B:$B,"&lt;&gt;")=0,"",SUMIFS(Weekly_Local!$B:$B,Weekly_Local!$U:$U,"2023-24",Weekly_Local!$T:$T,$A20))</f>
        <v>6</v>
      </c>
      <c r="D20" s="5" t="n">
        <f aca="false">IF(COUNTIFS(Weekly_Local!$U:$U,"2024-25",Weekly_Local!$T:$T,$A20,Weekly_Local!$B:$B,"&lt;&gt;")=0,"",SUMIFS(Weekly_Local!$B:$B,Weekly_Local!$U:$U,"2024-25",Weekly_Local!$T:$T,$A20))</f>
        <v>4</v>
      </c>
      <c r="E20" s="5" t="n">
        <f aca="false">IF(COUNTIFS(Weekly_Local!$U:$U,"2025-26",Weekly_Local!$T:$T,$A20,Weekly_Local!$B:$B,"&lt;&gt;")=0,"",SUMIFS(Weekly_Local!$B:$B,Weekly_Local!$U:$U,"2025-26",Weekly_Local!$T:$T,$A20))</f>
        <v>0</v>
      </c>
      <c r="F20" s="5" t="str">
        <f aca="false">IF(COUNTIFS(Weekly_Local!$U:$U,"2026-27",Weekly_Local!$T:$T,$A20,Weekly_Local!$B:$B,"&lt;&gt;")=0,"",SUMIFS(Weekly_Local!$B:$B,Weekly_Local!$U:$U,"2026-27",Weekly_Local!$T:$T,$A20))</f>
        <v/>
      </c>
      <c r="G20" s="5" t="str">
        <f aca="false">IF(AND($A20=53,DATE(YEAR(Config!$B$3),1,4)-WEEKDAY(DATE(YEAR(Config!$B$3),1,4))+1+364&gt;=DATE(YEAR(Config!$B$3)+1,1,4)-WEEKDAY(DATE(YEAR(Config!$B$3)+1,1,4))+1),"",TEXT(DATE(YEAR(Config!$B$3)+IF($A20&gt;=36,0,1),1,4)-WEEKDAY(DATE(YEAR(Config!$B$3)+IF($A20&gt;=36,0,1),1,4))+1+7*($A20-1)+1,"m/d/yy")&amp;" – "&amp;TEXT(DATE(YEAR(Config!$B$3)+IF($A20&gt;=36,0,1),1,4)-WEEKDAY(DATE(YEAR(Config!$B$3)+IF($A20&gt;=36,0,1),1,4))+1+7*($A20-1)+7,"m/d/yy"))</f>
        <v>12/21/26 – 12/27/26</v>
      </c>
    </row>
    <row r="21" customFormat="false" ht="15" hidden="false" customHeight="false" outlineLevel="0" collapsed="false">
      <c r="A21" s="5" t="n">
        <v>52</v>
      </c>
      <c r="B21" s="5" t="n">
        <f aca="false">IF(COUNTIFS(Weekly_Local!$U:$U,"2022-23",Weekly_Local!$T:$T,$A21,Weekly_Local!$B:$B,"&lt;&gt;")=0,"",SUMIFS(Weekly_Local!$B:$B,Weekly_Local!$U:$U,"2022-23",Weekly_Local!$T:$T,$A21))</f>
        <v>18</v>
      </c>
      <c r="C21" s="5" t="n">
        <f aca="false">IF(COUNTIFS(Weekly_Local!$U:$U,"2023-24",Weekly_Local!$T:$T,$A21,Weekly_Local!$B:$B,"&lt;&gt;")=0,"",SUMIFS(Weekly_Local!$B:$B,Weekly_Local!$U:$U,"2023-24",Weekly_Local!$T:$T,$A21))</f>
        <v>10</v>
      </c>
      <c r="D21" s="5" t="n">
        <f aca="false">IF(COUNTIFS(Weekly_Local!$U:$U,"2024-25",Weekly_Local!$T:$T,$A21,Weekly_Local!$B:$B,"&lt;&gt;")=0,"",SUMIFS(Weekly_Local!$B:$B,Weekly_Local!$U:$U,"2024-25",Weekly_Local!$T:$T,$A21))</f>
        <v>1</v>
      </c>
      <c r="E21" s="5" t="n">
        <f aca="false">IF(COUNTIFS(Weekly_Local!$U:$U,"2025-26",Weekly_Local!$T:$T,$A21,Weekly_Local!$B:$B,"&lt;&gt;")=0,"",SUMIFS(Weekly_Local!$B:$B,Weekly_Local!$U:$U,"2025-26",Weekly_Local!$T:$T,$A21))</f>
        <v>0</v>
      </c>
      <c r="F21" s="5" t="str">
        <f aca="false">IF(COUNTIFS(Weekly_Local!$U:$U,"2026-27",Weekly_Local!$T:$T,$A21,Weekly_Local!$B:$B,"&lt;&gt;")=0,"",SUMIFS(Weekly_Local!$B:$B,Weekly_Local!$U:$U,"2026-27",Weekly_Local!$T:$T,$A21))</f>
        <v/>
      </c>
      <c r="G21" s="5" t="str">
        <f aca="false">IF(AND($A21=53,DATE(YEAR(Config!$B$3),1,4)-WEEKDAY(DATE(YEAR(Config!$B$3),1,4))+1+364&gt;=DATE(YEAR(Config!$B$3)+1,1,4)-WEEKDAY(DATE(YEAR(Config!$B$3)+1,1,4))+1),"",TEXT(DATE(YEAR(Config!$B$3)+IF($A21&gt;=36,0,1),1,4)-WEEKDAY(DATE(YEAR(Config!$B$3)+IF($A21&gt;=36,0,1),1,4))+1+7*($A21-1)+1,"m/d/yy")&amp;" – "&amp;TEXT(DATE(YEAR(Config!$B$3)+IF($A21&gt;=36,0,1),1,4)-WEEKDAY(DATE(YEAR(Config!$B$3)+IF($A21&gt;=36,0,1),1,4))+1+7*($A21-1)+7,"m/d/yy"))</f>
        <v>12/28/26 – 1/3/27</v>
      </c>
    </row>
    <row r="22" customFormat="false" ht="15" hidden="false" customHeight="false" outlineLevel="0" collapsed="false">
      <c r="A22" s="5" t="n">
        <v>53</v>
      </c>
      <c r="B22" s="5" t="str">
        <f aca="false">IF(COUNTIFS(Weekly_Local!$U:$U,"2022-23",Weekly_Local!$T:$T,$A22,Weekly_Local!$B:$B,"&lt;&gt;")=0,"",SUMIFS(Weekly_Local!$B:$B,Weekly_Local!$U:$U,"2022-23",Weekly_Local!$T:$T,$A22))</f>
        <v/>
      </c>
      <c r="C22" s="5" t="str">
        <f aca="false">IF(COUNTIFS(Weekly_Local!$U:$U,"2023-24",Weekly_Local!$T:$T,$A22,Weekly_Local!$B:$B,"&lt;&gt;")=0,"",SUMIFS(Weekly_Local!$B:$B,Weekly_Local!$U:$U,"2023-24",Weekly_Local!$T:$T,$A22))</f>
        <v/>
      </c>
      <c r="D22" s="5" t="str">
        <f aca="false">IF(COUNTIFS(Weekly_Local!$U:$U,"2024-25",Weekly_Local!$T:$T,$A22,Weekly_Local!$B:$B,"&lt;&gt;")=0,"",SUMIFS(Weekly_Local!$B:$B,Weekly_Local!$U:$U,"2024-25",Weekly_Local!$T:$T,$A22))</f>
        <v/>
      </c>
      <c r="E22" s="5" t="n">
        <f aca="false">IF(COUNTIFS(Weekly_Local!$U:$U,"2025-26",Weekly_Local!$T:$T,$A22,Weekly_Local!$B:$B,"&lt;&gt;")=0,"",SUMIFS(Weekly_Local!$B:$B,Weekly_Local!$U:$U,"2025-26",Weekly_Local!$T:$T,$A22))</f>
        <v>1</v>
      </c>
      <c r="F22" s="5" t="str">
        <f aca="false">IF(COUNTIFS(Weekly_Local!$U:$U,"2026-27",Weekly_Local!$T:$T,$A22,Weekly_Local!$B:$B,"&lt;&gt;")=0,"",SUMIFS(Weekly_Local!$B:$B,Weekly_Local!$U:$U,"2026-27",Weekly_Local!$T:$T,$A22))</f>
        <v/>
      </c>
      <c r="G22" s="5" t="str">
        <f aca="false">IF(AND($A22=53,DATE(YEAR(Config!$B$3),1,4)-WEEKDAY(DATE(YEAR(Config!$B$3),1,4))+1+364&gt;=DATE(YEAR(Config!$B$3)+1,1,4)-WEEKDAY(DATE(YEAR(Config!$B$3)+1,1,4))+1),"",TEXT(DATE(YEAR(Config!$B$3)+IF($A22&gt;=36,0,1),1,4)-WEEKDAY(DATE(YEAR(Config!$B$3)+IF($A22&gt;=36,0,1),1,4))+1+7*($A22-1)+1,"m/d/yy")&amp;" – "&amp;TEXT(DATE(YEAR(Config!$B$3)+IF($A22&gt;=36,0,1),1,4)-WEEKDAY(DATE(YEAR(Config!$B$3)+IF($A22&gt;=36,0,1),1,4))+1+7*($A22-1)+7,"m/d/yy"))</f>
        <v/>
      </c>
    </row>
    <row r="23" customFormat="false" ht="15" hidden="false" customHeight="false" outlineLevel="0" collapsed="false">
      <c r="A23" s="5" t="n">
        <v>1</v>
      </c>
      <c r="B23" s="5" t="n">
        <f aca="false">IF(COUNTIFS(Weekly_Local!$U:$U,"2022-23",Weekly_Local!$T:$T,$A23,Weekly_Local!$B:$B,"&lt;&gt;")=0,"",SUMIFS(Weekly_Local!$B:$B,Weekly_Local!$U:$U,"2022-23",Weekly_Local!$T:$T,$A23))</f>
        <v>13</v>
      </c>
      <c r="C23" s="5" t="n">
        <f aca="false">IF(COUNTIFS(Weekly_Local!$U:$U,"2023-24",Weekly_Local!$T:$T,$A23,Weekly_Local!$B:$B,"&lt;&gt;")=0,"",SUMIFS(Weekly_Local!$B:$B,Weekly_Local!$U:$U,"2023-24",Weekly_Local!$T:$T,$A23))</f>
        <v>12</v>
      </c>
      <c r="D23" s="5" t="n">
        <f aca="false">IF(COUNTIFS(Weekly_Local!$U:$U,"2024-25",Weekly_Local!$T:$T,$A23,Weekly_Local!$B:$B,"&lt;&gt;")=0,"",SUMIFS(Weekly_Local!$B:$B,Weekly_Local!$U:$U,"2024-25",Weekly_Local!$T:$T,$A23))</f>
        <v>2</v>
      </c>
      <c r="E23" s="5" t="n">
        <f aca="false">IF(COUNTIFS(Weekly_Local!$U:$U,"2025-26",Weekly_Local!$T:$T,$A23,Weekly_Local!$B:$B,"&lt;&gt;")=0,"",SUMIFS(Weekly_Local!$B:$B,Weekly_Local!$U:$U,"2025-26",Weekly_Local!$T:$T,$A23))</f>
        <v>1</v>
      </c>
      <c r="F23" s="5" t="str">
        <f aca="false">IF(COUNTIFS(Weekly_Local!$U:$U,"2026-27",Weekly_Local!$T:$T,$A23,Weekly_Local!$B:$B,"&lt;&gt;")=0,"",SUMIFS(Weekly_Local!$B:$B,Weekly_Local!$U:$U,"2026-27",Weekly_Local!$T:$T,$A23))</f>
        <v/>
      </c>
      <c r="G23" s="5" t="str">
        <f aca="false">IF(AND($A23=53,DATE(YEAR(Config!$B$3),1,4)-WEEKDAY(DATE(YEAR(Config!$B$3),1,4))+1+364&gt;=DATE(YEAR(Config!$B$3)+1,1,4)-WEEKDAY(DATE(YEAR(Config!$B$3)+1,1,4))+1),"",TEXT(DATE(YEAR(Config!$B$3)+IF($A23&gt;=36,0,1),1,4)-WEEKDAY(DATE(YEAR(Config!$B$3)+IF($A23&gt;=36,0,1),1,4))+1+7*($A23-1)+1,"m/d/yy")&amp;" – "&amp;TEXT(DATE(YEAR(Config!$B$3)+IF($A23&gt;=36,0,1),1,4)-WEEKDAY(DATE(YEAR(Config!$B$3)+IF($A23&gt;=36,0,1),1,4))+1+7*($A23-1)+7,"m/d/yy"))</f>
        <v>1/4/27 – 1/10/27</v>
      </c>
    </row>
    <row r="24" customFormat="false" ht="15" hidden="false" customHeight="false" outlineLevel="0" collapsed="false">
      <c r="A24" s="5" t="n">
        <v>2</v>
      </c>
      <c r="B24" s="5" t="n">
        <f aca="false">IF(COUNTIFS(Weekly_Local!$U:$U,"2022-23",Weekly_Local!$T:$T,$A24,Weekly_Local!$B:$B,"&lt;&gt;")=0,"",SUMIFS(Weekly_Local!$B:$B,Weekly_Local!$U:$U,"2022-23",Weekly_Local!$T:$T,$A24))</f>
        <v>9</v>
      </c>
      <c r="C24" s="5" t="n">
        <f aca="false">IF(COUNTIFS(Weekly_Local!$U:$U,"2023-24",Weekly_Local!$T:$T,$A24,Weekly_Local!$B:$B,"&lt;&gt;")=0,"",SUMIFS(Weekly_Local!$B:$B,Weekly_Local!$U:$U,"2023-24",Weekly_Local!$T:$T,$A24))</f>
        <v>8</v>
      </c>
      <c r="D24" s="5" t="n">
        <f aca="false">IF(COUNTIFS(Weekly_Local!$U:$U,"2024-25",Weekly_Local!$T:$T,$A24,Weekly_Local!$B:$B,"&lt;&gt;")=0,"",SUMIFS(Weekly_Local!$B:$B,Weekly_Local!$U:$U,"2024-25",Weekly_Local!$T:$T,$A24))</f>
        <v>3</v>
      </c>
      <c r="E24" s="5" t="n">
        <f aca="false">IF(COUNTIFS(Weekly_Local!$U:$U,"2025-26",Weekly_Local!$T:$T,$A24,Weekly_Local!$B:$B,"&lt;&gt;")=0,"",SUMIFS(Weekly_Local!$B:$B,Weekly_Local!$U:$U,"2025-26",Weekly_Local!$T:$T,$A24))</f>
        <v>0</v>
      </c>
      <c r="F24" s="5" t="str">
        <f aca="false">IF(COUNTIFS(Weekly_Local!$U:$U,"2026-27",Weekly_Local!$T:$T,$A24,Weekly_Local!$B:$B,"&lt;&gt;")=0,"",SUMIFS(Weekly_Local!$B:$B,Weekly_Local!$U:$U,"2026-27",Weekly_Local!$T:$T,$A24))</f>
        <v/>
      </c>
      <c r="G24" s="5" t="str">
        <f aca="false">IF(AND($A24=53,DATE(YEAR(Config!$B$3),1,4)-WEEKDAY(DATE(YEAR(Config!$B$3),1,4))+1+364&gt;=DATE(YEAR(Config!$B$3)+1,1,4)-WEEKDAY(DATE(YEAR(Config!$B$3)+1,1,4))+1),"",TEXT(DATE(YEAR(Config!$B$3)+IF($A24&gt;=36,0,1),1,4)-WEEKDAY(DATE(YEAR(Config!$B$3)+IF($A24&gt;=36,0,1),1,4))+1+7*($A24-1)+1,"m/d/yy")&amp;" – "&amp;TEXT(DATE(YEAR(Config!$B$3)+IF($A24&gt;=36,0,1),1,4)-WEEKDAY(DATE(YEAR(Config!$B$3)+IF($A24&gt;=36,0,1),1,4))+1+7*($A24-1)+7,"m/d/yy"))</f>
        <v>1/11/27 – 1/17/27</v>
      </c>
    </row>
    <row r="25" customFormat="false" ht="15" hidden="false" customHeight="false" outlineLevel="0" collapsed="false">
      <c r="A25" s="5" t="n">
        <v>3</v>
      </c>
      <c r="B25" s="5" t="n">
        <f aca="false">IF(COUNTIFS(Weekly_Local!$U:$U,"2022-23",Weekly_Local!$T:$T,$A25,Weekly_Local!$B:$B,"&lt;&gt;")=0,"",SUMIFS(Weekly_Local!$B:$B,Weekly_Local!$U:$U,"2022-23",Weekly_Local!$T:$T,$A25))</f>
        <v>6</v>
      </c>
      <c r="C25" s="5" t="n">
        <f aca="false">IF(COUNTIFS(Weekly_Local!$U:$U,"2023-24",Weekly_Local!$T:$T,$A25,Weekly_Local!$B:$B,"&lt;&gt;")=0,"",SUMIFS(Weekly_Local!$B:$B,Weekly_Local!$U:$U,"2023-24",Weekly_Local!$T:$T,$A25))</f>
        <v>5</v>
      </c>
      <c r="D25" s="5" t="n">
        <f aca="false">IF(COUNTIFS(Weekly_Local!$U:$U,"2024-25",Weekly_Local!$T:$T,$A25,Weekly_Local!$B:$B,"&lt;&gt;")=0,"",SUMIFS(Weekly_Local!$B:$B,Weekly_Local!$U:$U,"2024-25",Weekly_Local!$T:$T,$A25))</f>
        <v>4</v>
      </c>
      <c r="E25" s="5" t="n">
        <f aca="false">IF(COUNTIFS(Weekly_Local!$U:$U,"2025-26",Weekly_Local!$T:$T,$A25,Weekly_Local!$B:$B,"&lt;&gt;")=0,"",SUMIFS(Weekly_Local!$B:$B,Weekly_Local!$U:$U,"2025-26",Weekly_Local!$T:$T,$A25))</f>
        <v>0</v>
      </c>
      <c r="F25" s="5" t="str">
        <f aca="false">IF(COUNTIFS(Weekly_Local!$U:$U,"2026-27",Weekly_Local!$T:$T,$A25,Weekly_Local!$B:$B,"&lt;&gt;")=0,"",SUMIFS(Weekly_Local!$B:$B,Weekly_Local!$U:$U,"2026-27",Weekly_Local!$T:$T,$A25))</f>
        <v/>
      </c>
      <c r="G25" s="5" t="str">
        <f aca="false">IF(AND($A25=53,DATE(YEAR(Config!$B$3),1,4)-WEEKDAY(DATE(YEAR(Config!$B$3),1,4))+1+364&gt;=DATE(YEAR(Config!$B$3)+1,1,4)-WEEKDAY(DATE(YEAR(Config!$B$3)+1,1,4))+1),"",TEXT(DATE(YEAR(Config!$B$3)+IF($A25&gt;=36,0,1),1,4)-WEEKDAY(DATE(YEAR(Config!$B$3)+IF($A25&gt;=36,0,1),1,4))+1+7*($A25-1)+1,"m/d/yy")&amp;" – "&amp;TEXT(DATE(YEAR(Config!$B$3)+IF($A25&gt;=36,0,1),1,4)-WEEKDAY(DATE(YEAR(Config!$B$3)+IF($A25&gt;=36,0,1),1,4))+1+7*($A25-1)+7,"m/d/yy"))</f>
        <v>1/18/27 – 1/24/27</v>
      </c>
    </row>
    <row r="26" customFormat="false" ht="15" hidden="false" customHeight="false" outlineLevel="0" collapsed="false">
      <c r="A26" s="5" t="n">
        <v>4</v>
      </c>
      <c r="B26" s="5" t="n">
        <f aca="false">IF(COUNTIFS(Weekly_Local!$U:$U,"2022-23",Weekly_Local!$T:$T,$A26,Weekly_Local!$B:$B,"&lt;&gt;")=0,"",SUMIFS(Weekly_Local!$B:$B,Weekly_Local!$U:$U,"2022-23",Weekly_Local!$T:$T,$A26))</f>
        <v>5</v>
      </c>
      <c r="C26" s="5" t="n">
        <f aca="false">IF(COUNTIFS(Weekly_Local!$U:$U,"2023-24",Weekly_Local!$T:$T,$A26,Weekly_Local!$B:$B,"&lt;&gt;")=0,"",SUMIFS(Weekly_Local!$B:$B,Weekly_Local!$U:$U,"2023-24",Weekly_Local!$T:$T,$A26))</f>
        <v>5</v>
      </c>
      <c r="D26" s="5" t="n">
        <f aca="false">IF(COUNTIFS(Weekly_Local!$U:$U,"2024-25",Weekly_Local!$T:$T,$A26,Weekly_Local!$B:$B,"&lt;&gt;")=0,"",SUMIFS(Weekly_Local!$B:$B,Weekly_Local!$U:$U,"2024-25",Weekly_Local!$T:$T,$A26))</f>
        <v>3</v>
      </c>
      <c r="E26" s="5" t="n">
        <f aca="false">IF(COUNTIFS(Weekly_Local!$U:$U,"2025-26",Weekly_Local!$T:$T,$A26,Weekly_Local!$B:$B,"&lt;&gt;")=0,"",SUMIFS(Weekly_Local!$B:$B,Weekly_Local!$U:$U,"2025-26",Weekly_Local!$T:$T,$A26))</f>
        <v>4</v>
      </c>
      <c r="F26" s="5" t="str">
        <f aca="false">IF(COUNTIFS(Weekly_Local!$U:$U,"2026-27",Weekly_Local!$T:$T,$A26,Weekly_Local!$B:$B,"&lt;&gt;")=0,"",SUMIFS(Weekly_Local!$B:$B,Weekly_Local!$U:$U,"2026-27",Weekly_Local!$T:$T,$A26))</f>
        <v/>
      </c>
      <c r="G26" s="5" t="str">
        <f aca="false">IF(AND($A26=53,DATE(YEAR(Config!$B$3),1,4)-WEEKDAY(DATE(YEAR(Config!$B$3),1,4))+1+364&gt;=DATE(YEAR(Config!$B$3)+1,1,4)-WEEKDAY(DATE(YEAR(Config!$B$3)+1,1,4))+1),"",TEXT(DATE(YEAR(Config!$B$3)+IF($A26&gt;=36,0,1),1,4)-WEEKDAY(DATE(YEAR(Config!$B$3)+IF($A26&gt;=36,0,1),1,4))+1+7*($A26-1)+1,"m/d/yy")&amp;" – "&amp;TEXT(DATE(YEAR(Config!$B$3)+IF($A26&gt;=36,0,1),1,4)-WEEKDAY(DATE(YEAR(Config!$B$3)+IF($A26&gt;=36,0,1),1,4))+1+7*($A26-1)+7,"m/d/yy"))</f>
        <v>1/25/27 – 1/31/27</v>
      </c>
    </row>
    <row r="27" customFormat="false" ht="15" hidden="false" customHeight="false" outlineLevel="0" collapsed="false">
      <c r="A27" s="5" t="n">
        <v>5</v>
      </c>
      <c r="B27" s="5" t="n">
        <f aca="false">IF(COUNTIFS(Weekly_Local!$U:$U,"2022-23",Weekly_Local!$T:$T,$A27,Weekly_Local!$B:$B,"&lt;&gt;")=0,"",SUMIFS(Weekly_Local!$B:$B,Weekly_Local!$U:$U,"2022-23",Weekly_Local!$T:$T,$A27))</f>
        <v>5</v>
      </c>
      <c r="C27" s="5" t="n">
        <f aca="false">IF(COUNTIFS(Weekly_Local!$U:$U,"2023-24",Weekly_Local!$T:$T,$A27,Weekly_Local!$B:$B,"&lt;&gt;")=0,"",SUMIFS(Weekly_Local!$B:$B,Weekly_Local!$U:$U,"2023-24",Weekly_Local!$T:$T,$A27))</f>
        <v>5</v>
      </c>
      <c r="D27" s="5" t="n">
        <f aca="false">IF(COUNTIFS(Weekly_Local!$U:$U,"2024-25",Weekly_Local!$T:$T,$A27,Weekly_Local!$B:$B,"&lt;&gt;")=0,"",SUMIFS(Weekly_Local!$B:$B,Weekly_Local!$U:$U,"2024-25",Weekly_Local!$T:$T,$A27))</f>
        <v>1</v>
      </c>
      <c r="E27" s="5" t="n">
        <f aca="false">IF(COUNTIFS(Weekly_Local!$U:$U,"2025-26",Weekly_Local!$T:$T,$A27,Weekly_Local!$B:$B,"&lt;&gt;")=0,"",SUMIFS(Weekly_Local!$B:$B,Weekly_Local!$U:$U,"2025-26",Weekly_Local!$T:$T,$A27))</f>
        <v>2</v>
      </c>
      <c r="F27" s="5" t="str">
        <f aca="false">IF(COUNTIFS(Weekly_Local!$U:$U,"2026-27",Weekly_Local!$T:$T,$A27,Weekly_Local!$B:$B,"&lt;&gt;")=0,"",SUMIFS(Weekly_Local!$B:$B,Weekly_Local!$U:$U,"2026-27",Weekly_Local!$T:$T,$A27))</f>
        <v/>
      </c>
      <c r="G27" s="5" t="str">
        <f aca="false">IF(AND($A27=53,DATE(YEAR(Config!$B$3),1,4)-WEEKDAY(DATE(YEAR(Config!$B$3),1,4))+1+364&gt;=DATE(YEAR(Config!$B$3)+1,1,4)-WEEKDAY(DATE(YEAR(Config!$B$3)+1,1,4))+1),"",TEXT(DATE(YEAR(Config!$B$3)+IF($A27&gt;=36,0,1),1,4)-WEEKDAY(DATE(YEAR(Config!$B$3)+IF($A27&gt;=36,0,1),1,4))+1+7*($A27-1)+1,"m/d/yy")&amp;" – "&amp;TEXT(DATE(YEAR(Config!$B$3)+IF($A27&gt;=36,0,1),1,4)-WEEKDAY(DATE(YEAR(Config!$B$3)+IF($A27&gt;=36,0,1),1,4))+1+7*($A27-1)+7,"m/d/yy"))</f>
        <v>2/1/27 – 2/7/27</v>
      </c>
    </row>
    <row r="28" customFormat="false" ht="15" hidden="false" customHeight="false" outlineLevel="0" collapsed="false">
      <c r="A28" s="5" t="n">
        <v>6</v>
      </c>
      <c r="B28" s="5" t="n">
        <f aca="false">IF(COUNTIFS(Weekly_Local!$U:$U,"2022-23",Weekly_Local!$T:$T,$A28,Weekly_Local!$B:$B,"&lt;&gt;")=0,"",SUMIFS(Weekly_Local!$B:$B,Weekly_Local!$U:$U,"2022-23",Weekly_Local!$T:$T,$A28))</f>
        <v>3</v>
      </c>
      <c r="C28" s="5" t="n">
        <f aca="false">IF(COUNTIFS(Weekly_Local!$U:$U,"2023-24",Weekly_Local!$T:$T,$A28,Weekly_Local!$B:$B,"&lt;&gt;")=0,"",SUMIFS(Weekly_Local!$B:$B,Weekly_Local!$U:$U,"2023-24",Weekly_Local!$T:$T,$A28))</f>
        <v>1</v>
      </c>
      <c r="D28" s="5" t="n">
        <f aca="false">IF(COUNTIFS(Weekly_Local!$U:$U,"2024-25",Weekly_Local!$T:$T,$A28,Weekly_Local!$B:$B,"&lt;&gt;")=0,"",SUMIFS(Weekly_Local!$B:$B,Weekly_Local!$U:$U,"2024-25",Weekly_Local!$T:$T,$A28))</f>
        <v>4</v>
      </c>
      <c r="E28" s="5" t="n">
        <f aca="false">IF(COUNTIFS(Weekly_Local!$U:$U,"2025-26",Weekly_Local!$T:$T,$A28,Weekly_Local!$B:$B,"&lt;&gt;")=0,"",SUMIFS(Weekly_Local!$B:$B,Weekly_Local!$U:$U,"2025-26",Weekly_Local!$T:$T,$A28))</f>
        <v>1</v>
      </c>
      <c r="F28" s="5" t="str">
        <f aca="false">IF(COUNTIFS(Weekly_Local!$U:$U,"2026-27",Weekly_Local!$T:$T,$A28,Weekly_Local!$B:$B,"&lt;&gt;")=0,"",SUMIFS(Weekly_Local!$B:$B,Weekly_Local!$U:$U,"2026-27",Weekly_Local!$T:$T,$A28))</f>
        <v/>
      </c>
      <c r="G28" s="5" t="str">
        <f aca="false">IF(AND($A28=53,DATE(YEAR(Config!$B$3),1,4)-WEEKDAY(DATE(YEAR(Config!$B$3),1,4))+1+364&gt;=DATE(YEAR(Config!$B$3)+1,1,4)-WEEKDAY(DATE(YEAR(Config!$B$3)+1,1,4))+1),"",TEXT(DATE(YEAR(Config!$B$3)+IF($A28&gt;=36,0,1),1,4)-WEEKDAY(DATE(YEAR(Config!$B$3)+IF($A28&gt;=36,0,1),1,4))+1+7*($A28-1)+1,"m/d/yy")&amp;" – "&amp;TEXT(DATE(YEAR(Config!$B$3)+IF($A28&gt;=36,0,1),1,4)-WEEKDAY(DATE(YEAR(Config!$B$3)+IF($A28&gt;=36,0,1),1,4))+1+7*($A28-1)+7,"m/d/yy"))</f>
        <v>2/8/27 – 2/14/27</v>
      </c>
    </row>
    <row r="29" customFormat="false" ht="15" hidden="false" customHeight="false" outlineLevel="0" collapsed="false">
      <c r="A29" s="5" t="n">
        <v>7</v>
      </c>
      <c r="B29" s="5" t="n">
        <f aca="false">IF(COUNTIFS(Weekly_Local!$U:$U,"2022-23",Weekly_Local!$T:$T,$A29,Weekly_Local!$B:$B,"&lt;&gt;")=0,"",SUMIFS(Weekly_Local!$B:$B,Weekly_Local!$U:$U,"2022-23",Weekly_Local!$T:$T,$A29))</f>
        <v>2</v>
      </c>
      <c r="C29" s="5" t="n">
        <f aca="false">IF(COUNTIFS(Weekly_Local!$U:$U,"2023-24",Weekly_Local!$T:$T,$A29,Weekly_Local!$B:$B,"&lt;&gt;")=0,"",SUMIFS(Weekly_Local!$B:$B,Weekly_Local!$U:$U,"2023-24",Weekly_Local!$T:$T,$A29))</f>
        <v>5</v>
      </c>
      <c r="D29" s="5" t="n">
        <f aca="false">IF(COUNTIFS(Weekly_Local!$U:$U,"2024-25",Weekly_Local!$T:$T,$A29,Weekly_Local!$B:$B,"&lt;&gt;")=0,"",SUMIFS(Weekly_Local!$B:$B,Weekly_Local!$U:$U,"2024-25",Weekly_Local!$T:$T,$A29))</f>
        <v>0</v>
      </c>
      <c r="E29" s="5" t="n">
        <f aca="false">IF(COUNTIFS(Weekly_Local!$U:$U,"2025-26",Weekly_Local!$T:$T,$A29,Weekly_Local!$B:$B,"&lt;&gt;")=0,"",SUMIFS(Weekly_Local!$B:$B,Weekly_Local!$U:$U,"2025-26",Weekly_Local!$T:$T,$A29))</f>
        <v>2</v>
      </c>
      <c r="F29" s="5" t="str">
        <f aca="false">IF(COUNTIFS(Weekly_Local!$U:$U,"2026-27",Weekly_Local!$T:$T,$A29,Weekly_Local!$B:$B,"&lt;&gt;")=0,"",SUMIFS(Weekly_Local!$B:$B,Weekly_Local!$U:$U,"2026-27",Weekly_Local!$T:$T,$A29))</f>
        <v/>
      </c>
      <c r="G29" s="5" t="str">
        <f aca="false">IF(AND($A29=53,DATE(YEAR(Config!$B$3),1,4)-WEEKDAY(DATE(YEAR(Config!$B$3),1,4))+1+364&gt;=DATE(YEAR(Config!$B$3)+1,1,4)-WEEKDAY(DATE(YEAR(Config!$B$3)+1,1,4))+1),"",TEXT(DATE(YEAR(Config!$B$3)+IF($A29&gt;=36,0,1),1,4)-WEEKDAY(DATE(YEAR(Config!$B$3)+IF($A29&gt;=36,0,1),1,4))+1+7*($A29-1)+1,"m/d/yy")&amp;" – "&amp;TEXT(DATE(YEAR(Config!$B$3)+IF($A29&gt;=36,0,1),1,4)-WEEKDAY(DATE(YEAR(Config!$B$3)+IF($A29&gt;=36,0,1),1,4))+1+7*($A29-1)+7,"m/d/yy"))</f>
        <v>2/15/27 – 2/21/27</v>
      </c>
    </row>
    <row r="30" customFormat="false" ht="15" hidden="false" customHeight="false" outlineLevel="0" collapsed="false">
      <c r="A30" s="5" t="n">
        <v>8</v>
      </c>
      <c r="B30" s="5" t="n">
        <f aca="false">IF(COUNTIFS(Weekly_Local!$U:$U,"2022-23",Weekly_Local!$T:$T,$A30,Weekly_Local!$B:$B,"&lt;&gt;")=0,"",SUMIFS(Weekly_Local!$B:$B,Weekly_Local!$U:$U,"2022-23",Weekly_Local!$T:$T,$A30))</f>
        <v>5</v>
      </c>
      <c r="C30" s="5" t="n">
        <f aca="false">IF(COUNTIFS(Weekly_Local!$U:$U,"2023-24",Weekly_Local!$T:$T,$A30,Weekly_Local!$B:$B,"&lt;&gt;")=0,"",SUMIFS(Weekly_Local!$B:$B,Weekly_Local!$U:$U,"2023-24",Weekly_Local!$T:$T,$A30))</f>
        <v>3</v>
      </c>
      <c r="D30" s="5" t="n">
        <f aca="false">IF(COUNTIFS(Weekly_Local!$U:$U,"2024-25",Weekly_Local!$T:$T,$A30,Weekly_Local!$B:$B,"&lt;&gt;")=0,"",SUMIFS(Weekly_Local!$B:$B,Weekly_Local!$U:$U,"2024-25",Weekly_Local!$T:$T,$A30))</f>
        <v>0</v>
      </c>
      <c r="E30" s="5" t="n">
        <f aca="false">IF(COUNTIFS(Weekly_Local!$U:$U,"2025-26",Weekly_Local!$T:$T,$A30,Weekly_Local!$B:$B,"&lt;&gt;")=0,"",SUMIFS(Weekly_Local!$B:$B,Weekly_Local!$U:$U,"2025-26",Weekly_Local!$T:$T,$A30))</f>
        <v>2</v>
      </c>
      <c r="F30" s="5" t="str">
        <f aca="false">IF(COUNTIFS(Weekly_Local!$U:$U,"2026-27",Weekly_Local!$T:$T,$A30,Weekly_Local!$B:$B,"&lt;&gt;")=0,"",SUMIFS(Weekly_Local!$B:$B,Weekly_Local!$U:$U,"2026-27",Weekly_Local!$T:$T,$A30))</f>
        <v/>
      </c>
      <c r="G30" s="5" t="str">
        <f aca="false">IF(AND($A30=53,DATE(YEAR(Config!$B$3),1,4)-WEEKDAY(DATE(YEAR(Config!$B$3),1,4))+1+364&gt;=DATE(YEAR(Config!$B$3)+1,1,4)-WEEKDAY(DATE(YEAR(Config!$B$3)+1,1,4))+1),"",TEXT(DATE(YEAR(Config!$B$3)+IF($A30&gt;=36,0,1),1,4)-WEEKDAY(DATE(YEAR(Config!$B$3)+IF($A30&gt;=36,0,1),1,4))+1+7*($A30-1)+1,"m/d/yy")&amp;" – "&amp;TEXT(DATE(YEAR(Config!$B$3)+IF($A30&gt;=36,0,1),1,4)-WEEKDAY(DATE(YEAR(Config!$B$3)+IF($A30&gt;=36,0,1),1,4))+1+7*($A30-1)+7,"m/d/yy"))</f>
        <v>2/22/27 – 2/28/27</v>
      </c>
    </row>
    <row r="31" customFormat="false" ht="15" hidden="false" customHeight="false" outlineLevel="0" collapsed="false">
      <c r="A31" s="5" t="n">
        <v>9</v>
      </c>
      <c r="B31" s="5" t="n">
        <f aca="false">IF(COUNTIFS(Weekly_Local!$U:$U,"2022-23",Weekly_Local!$T:$T,$A31,Weekly_Local!$B:$B,"&lt;&gt;")=0,"",SUMIFS(Weekly_Local!$B:$B,Weekly_Local!$U:$U,"2022-23",Weekly_Local!$T:$T,$A31))</f>
        <v>4</v>
      </c>
      <c r="C31" s="5" t="n">
        <f aca="false">IF(COUNTIFS(Weekly_Local!$U:$U,"2023-24",Weekly_Local!$T:$T,$A31,Weekly_Local!$B:$B,"&lt;&gt;")=0,"",SUMIFS(Weekly_Local!$B:$B,Weekly_Local!$U:$U,"2023-24",Weekly_Local!$T:$T,$A31))</f>
        <v>2</v>
      </c>
      <c r="D31" s="5" t="n">
        <f aca="false">IF(COUNTIFS(Weekly_Local!$U:$U,"2024-25",Weekly_Local!$T:$T,$A31,Weekly_Local!$B:$B,"&lt;&gt;")=0,"",SUMIFS(Weekly_Local!$B:$B,Weekly_Local!$U:$U,"2024-25",Weekly_Local!$T:$T,$A31))</f>
        <v>2</v>
      </c>
      <c r="E31" s="5" t="n">
        <f aca="false">IF(COUNTIFS(Weekly_Local!$U:$U,"2025-26",Weekly_Local!$T:$T,$A31,Weekly_Local!$B:$B,"&lt;&gt;")=0,"",SUMIFS(Weekly_Local!$B:$B,Weekly_Local!$U:$U,"2025-26",Weekly_Local!$T:$T,$A31))</f>
        <v>0</v>
      </c>
      <c r="F31" s="5" t="str">
        <f aca="false">IF(COUNTIFS(Weekly_Local!$U:$U,"2026-27",Weekly_Local!$T:$T,$A31,Weekly_Local!$B:$B,"&lt;&gt;")=0,"",SUMIFS(Weekly_Local!$B:$B,Weekly_Local!$U:$U,"2026-27",Weekly_Local!$T:$T,$A31))</f>
        <v/>
      </c>
      <c r="G31" s="5" t="str">
        <f aca="false">IF(AND($A31=53,DATE(YEAR(Config!$B$3),1,4)-WEEKDAY(DATE(YEAR(Config!$B$3),1,4))+1+364&gt;=DATE(YEAR(Config!$B$3)+1,1,4)-WEEKDAY(DATE(YEAR(Config!$B$3)+1,1,4))+1),"",TEXT(DATE(YEAR(Config!$B$3)+IF($A31&gt;=36,0,1),1,4)-WEEKDAY(DATE(YEAR(Config!$B$3)+IF($A31&gt;=36,0,1),1,4))+1+7*($A31-1)+1,"m/d/yy")&amp;" – "&amp;TEXT(DATE(YEAR(Config!$B$3)+IF($A31&gt;=36,0,1),1,4)-WEEKDAY(DATE(YEAR(Config!$B$3)+IF($A31&gt;=36,0,1),1,4))+1+7*($A31-1)+7,"m/d/yy"))</f>
        <v>3/1/27 – 3/7/27</v>
      </c>
    </row>
    <row r="32" customFormat="false" ht="15" hidden="false" customHeight="false" outlineLevel="0" collapsed="false">
      <c r="A32" s="5" t="n">
        <v>10</v>
      </c>
      <c r="B32" s="5" t="n">
        <f aca="false">IF(COUNTIFS(Weekly_Local!$U:$U,"2022-23",Weekly_Local!$T:$T,$A32,Weekly_Local!$B:$B,"&lt;&gt;")=0,"",SUMIFS(Weekly_Local!$B:$B,Weekly_Local!$U:$U,"2022-23",Weekly_Local!$T:$T,$A32))</f>
        <v>3</v>
      </c>
      <c r="C32" s="5" t="n">
        <f aca="false">IF(COUNTIFS(Weekly_Local!$U:$U,"2023-24",Weekly_Local!$T:$T,$A32,Weekly_Local!$B:$B,"&lt;&gt;")=0,"",SUMIFS(Weekly_Local!$B:$B,Weekly_Local!$U:$U,"2023-24",Weekly_Local!$T:$T,$A32))</f>
        <v>0</v>
      </c>
      <c r="D32" s="5" t="n">
        <f aca="false">IF(COUNTIFS(Weekly_Local!$U:$U,"2024-25",Weekly_Local!$T:$T,$A32,Weekly_Local!$B:$B,"&lt;&gt;")=0,"",SUMIFS(Weekly_Local!$B:$B,Weekly_Local!$U:$U,"2024-25",Weekly_Local!$T:$T,$A32))</f>
        <v>1</v>
      </c>
      <c r="E32" s="5" t="n">
        <f aca="false">IF(COUNTIFS(Weekly_Local!$U:$U,"2025-26",Weekly_Local!$T:$T,$A32,Weekly_Local!$B:$B,"&lt;&gt;")=0,"",SUMIFS(Weekly_Local!$B:$B,Weekly_Local!$U:$U,"2025-26",Weekly_Local!$T:$T,$A32))</f>
        <v>0</v>
      </c>
      <c r="F32" s="5" t="str">
        <f aca="false">IF(COUNTIFS(Weekly_Local!$U:$U,"2026-27",Weekly_Local!$T:$T,$A32,Weekly_Local!$B:$B,"&lt;&gt;")=0,"",SUMIFS(Weekly_Local!$B:$B,Weekly_Local!$U:$U,"2026-27",Weekly_Local!$T:$T,$A32))</f>
        <v/>
      </c>
      <c r="G32" s="5" t="str">
        <f aca="false">IF(AND($A32=53,DATE(YEAR(Config!$B$3),1,4)-WEEKDAY(DATE(YEAR(Config!$B$3),1,4))+1+364&gt;=DATE(YEAR(Config!$B$3)+1,1,4)-WEEKDAY(DATE(YEAR(Config!$B$3)+1,1,4))+1),"",TEXT(DATE(YEAR(Config!$B$3)+IF($A32&gt;=36,0,1),1,4)-WEEKDAY(DATE(YEAR(Config!$B$3)+IF($A32&gt;=36,0,1),1,4))+1+7*($A32-1)+1,"m/d/yy")&amp;" – "&amp;TEXT(DATE(YEAR(Config!$B$3)+IF($A32&gt;=36,0,1),1,4)-WEEKDAY(DATE(YEAR(Config!$B$3)+IF($A32&gt;=36,0,1),1,4))+1+7*($A32-1)+7,"m/d/yy"))</f>
        <v>3/8/27 – 3/14/27</v>
      </c>
    </row>
    <row r="33" customFormat="false" ht="15" hidden="false" customHeight="false" outlineLevel="0" collapsed="false">
      <c r="A33" s="5" t="n">
        <v>11</v>
      </c>
      <c r="B33" s="5" t="n">
        <f aca="false">IF(COUNTIFS(Weekly_Local!$U:$U,"2022-23",Weekly_Local!$T:$T,$A33,Weekly_Local!$B:$B,"&lt;&gt;")=0,"",SUMIFS(Weekly_Local!$B:$B,Weekly_Local!$U:$U,"2022-23",Weekly_Local!$T:$T,$A33))</f>
        <v>5</v>
      </c>
      <c r="C33" s="5" t="n">
        <f aca="false">IF(COUNTIFS(Weekly_Local!$U:$U,"2023-24",Weekly_Local!$T:$T,$A33,Weekly_Local!$B:$B,"&lt;&gt;")=0,"",SUMIFS(Weekly_Local!$B:$B,Weekly_Local!$U:$U,"2023-24",Weekly_Local!$T:$T,$A33))</f>
        <v>1</v>
      </c>
      <c r="D33" s="5" t="n">
        <f aca="false">IF(COUNTIFS(Weekly_Local!$U:$U,"2024-25",Weekly_Local!$T:$T,$A33,Weekly_Local!$B:$B,"&lt;&gt;")=0,"",SUMIFS(Weekly_Local!$B:$B,Weekly_Local!$U:$U,"2024-25",Weekly_Local!$T:$T,$A33))</f>
        <v>1</v>
      </c>
      <c r="E33" s="5" t="n">
        <f aca="false">IF(COUNTIFS(Weekly_Local!$U:$U,"2025-26",Weekly_Local!$T:$T,$A33,Weekly_Local!$B:$B,"&lt;&gt;")=0,"",SUMIFS(Weekly_Local!$B:$B,Weekly_Local!$U:$U,"2025-26",Weekly_Local!$T:$T,$A33))</f>
        <v>4</v>
      </c>
      <c r="F33" s="5" t="str">
        <f aca="false">IF(COUNTIFS(Weekly_Local!$U:$U,"2026-27",Weekly_Local!$T:$T,$A33,Weekly_Local!$B:$B,"&lt;&gt;")=0,"",SUMIFS(Weekly_Local!$B:$B,Weekly_Local!$U:$U,"2026-27",Weekly_Local!$T:$T,$A33))</f>
        <v/>
      </c>
      <c r="G33" s="5" t="str">
        <f aca="false">IF(AND($A33=53,DATE(YEAR(Config!$B$3),1,4)-WEEKDAY(DATE(YEAR(Config!$B$3),1,4))+1+364&gt;=DATE(YEAR(Config!$B$3)+1,1,4)-WEEKDAY(DATE(YEAR(Config!$B$3)+1,1,4))+1),"",TEXT(DATE(YEAR(Config!$B$3)+IF($A33&gt;=36,0,1),1,4)-WEEKDAY(DATE(YEAR(Config!$B$3)+IF($A33&gt;=36,0,1),1,4))+1+7*($A33-1)+1,"m/d/yy")&amp;" – "&amp;TEXT(DATE(YEAR(Config!$B$3)+IF($A33&gt;=36,0,1),1,4)-WEEKDAY(DATE(YEAR(Config!$B$3)+IF($A33&gt;=36,0,1),1,4))+1+7*($A33-1)+7,"m/d/yy"))</f>
        <v>3/15/27 – 3/21/27</v>
      </c>
    </row>
    <row r="34" customFormat="false" ht="15" hidden="false" customHeight="false" outlineLevel="0" collapsed="false">
      <c r="A34" s="5" t="n">
        <v>12</v>
      </c>
      <c r="B34" s="5" t="n">
        <f aca="false">IF(COUNTIFS(Weekly_Local!$U:$U,"2022-23",Weekly_Local!$T:$T,$A34,Weekly_Local!$B:$B,"&lt;&gt;")=0,"",SUMIFS(Weekly_Local!$B:$B,Weekly_Local!$U:$U,"2022-23",Weekly_Local!$T:$T,$A34))</f>
        <v>1</v>
      </c>
      <c r="C34" s="5" t="n">
        <f aca="false">IF(COUNTIFS(Weekly_Local!$U:$U,"2023-24",Weekly_Local!$T:$T,$A34,Weekly_Local!$B:$B,"&lt;&gt;")=0,"",SUMIFS(Weekly_Local!$B:$B,Weekly_Local!$U:$U,"2023-24",Weekly_Local!$T:$T,$A34))</f>
        <v>1</v>
      </c>
      <c r="D34" s="5" t="n">
        <f aca="false">IF(COUNTIFS(Weekly_Local!$U:$U,"2024-25",Weekly_Local!$T:$T,$A34,Weekly_Local!$B:$B,"&lt;&gt;")=0,"",SUMIFS(Weekly_Local!$B:$B,Weekly_Local!$U:$U,"2024-25",Weekly_Local!$T:$T,$A34))</f>
        <v>0</v>
      </c>
      <c r="E34" s="5" t="n">
        <f aca="false">IF(COUNTIFS(Weekly_Local!$U:$U,"2025-26",Weekly_Local!$T:$T,$A34,Weekly_Local!$B:$B,"&lt;&gt;")=0,"",SUMIFS(Weekly_Local!$B:$B,Weekly_Local!$U:$U,"2025-26",Weekly_Local!$T:$T,$A34))</f>
        <v>1</v>
      </c>
      <c r="F34" s="5" t="str">
        <f aca="false">IF(COUNTIFS(Weekly_Local!$U:$U,"2026-27",Weekly_Local!$T:$T,$A34,Weekly_Local!$B:$B,"&lt;&gt;")=0,"",SUMIFS(Weekly_Local!$B:$B,Weekly_Local!$U:$U,"2026-27",Weekly_Local!$T:$T,$A34))</f>
        <v/>
      </c>
      <c r="G34" s="5" t="str">
        <f aca="false">IF(AND($A34=53,DATE(YEAR(Config!$B$3),1,4)-WEEKDAY(DATE(YEAR(Config!$B$3),1,4))+1+364&gt;=DATE(YEAR(Config!$B$3)+1,1,4)-WEEKDAY(DATE(YEAR(Config!$B$3)+1,1,4))+1),"",TEXT(DATE(YEAR(Config!$B$3)+IF($A34&gt;=36,0,1),1,4)-WEEKDAY(DATE(YEAR(Config!$B$3)+IF($A34&gt;=36,0,1),1,4))+1+7*($A34-1)+1,"m/d/yy")&amp;" – "&amp;TEXT(DATE(YEAR(Config!$B$3)+IF($A34&gt;=36,0,1),1,4)-WEEKDAY(DATE(YEAR(Config!$B$3)+IF($A34&gt;=36,0,1),1,4))+1+7*($A34-1)+7,"m/d/yy"))</f>
        <v>3/22/27 – 3/28/27</v>
      </c>
    </row>
    <row r="35" customFormat="false" ht="15" hidden="false" customHeight="false" outlineLevel="0" collapsed="false">
      <c r="A35" s="5" t="n">
        <v>13</v>
      </c>
      <c r="B35" s="5" t="n">
        <f aca="false">IF(COUNTIFS(Weekly_Local!$U:$U,"2022-23",Weekly_Local!$T:$T,$A35,Weekly_Local!$B:$B,"&lt;&gt;")=0,"",SUMIFS(Weekly_Local!$B:$B,Weekly_Local!$U:$U,"2022-23",Weekly_Local!$T:$T,$A35))</f>
        <v>4</v>
      </c>
      <c r="C35" s="5" t="n">
        <f aca="false">IF(COUNTIFS(Weekly_Local!$U:$U,"2023-24",Weekly_Local!$T:$T,$A35,Weekly_Local!$B:$B,"&lt;&gt;")=0,"",SUMIFS(Weekly_Local!$B:$B,Weekly_Local!$U:$U,"2023-24",Weekly_Local!$T:$T,$A35))</f>
        <v>0</v>
      </c>
      <c r="D35" s="5" t="n">
        <f aca="false">IF(COUNTIFS(Weekly_Local!$U:$U,"2024-25",Weekly_Local!$T:$T,$A35,Weekly_Local!$B:$B,"&lt;&gt;")=0,"",SUMIFS(Weekly_Local!$B:$B,Weekly_Local!$U:$U,"2024-25",Weekly_Local!$T:$T,$A35))</f>
        <v>4</v>
      </c>
      <c r="E35" s="5" t="n">
        <f aca="false">IF(COUNTIFS(Weekly_Local!$U:$U,"2025-26",Weekly_Local!$T:$T,$A35,Weekly_Local!$B:$B,"&lt;&gt;")=0,"",SUMIFS(Weekly_Local!$B:$B,Weekly_Local!$U:$U,"2025-26",Weekly_Local!$T:$T,$A35))</f>
        <v>1</v>
      </c>
      <c r="F35" s="5" t="str">
        <f aca="false">IF(COUNTIFS(Weekly_Local!$U:$U,"2026-27",Weekly_Local!$T:$T,$A35,Weekly_Local!$B:$B,"&lt;&gt;")=0,"",SUMIFS(Weekly_Local!$B:$B,Weekly_Local!$U:$U,"2026-27",Weekly_Local!$T:$T,$A35))</f>
        <v/>
      </c>
      <c r="G35" s="5" t="str">
        <f aca="false">IF(AND($A35=53,DATE(YEAR(Config!$B$3),1,4)-WEEKDAY(DATE(YEAR(Config!$B$3),1,4))+1+364&gt;=DATE(YEAR(Config!$B$3)+1,1,4)-WEEKDAY(DATE(YEAR(Config!$B$3)+1,1,4))+1),"",TEXT(DATE(YEAR(Config!$B$3)+IF($A35&gt;=36,0,1),1,4)-WEEKDAY(DATE(YEAR(Config!$B$3)+IF($A35&gt;=36,0,1),1,4))+1+7*($A35-1)+1,"m/d/yy")&amp;" – "&amp;TEXT(DATE(YEAR(Config!$B$3)+IF($A35&gt;=36,0,1),1,4)-WEEKDAY(DATE(YEAR(Config!$B$3)+IF($A35&gt;=36,0,1),1,4))+1+7*($A35-1)+7,"m/d/yy"))</f>
        <v>3/29/27 – 4/4/27</v>
      </c>
    </row>
    <row r="36" customFormat="false" ht="15" hidden="false" customHeight="false" outlineLevel="0" collapsed="false">
      <c r="A36" s="5" t="n">
        <v>14</v>
      </c>
      <c r="B36" s="5" t="n">
        <f aca="false">IF(COUNTIFS(Weekly_Local!$U:$U,"2022-23",Weekly_Local!$T:$T,$A36,Weekly_Local!$B:$B,"&lt;&gt;")=0,"",SUMIFS(Weekly_Local!$B:$B,Weekly_Local!$U:$U,"2022-23",Weekly_Local!$T:$T,$A36))</f>
        <v>3</v>
      </c>
      <c r="C36" s="5" t="n">
        <f aca="false">IF(COUNTIFS(Weekly_Local!$U:$U,"2023-24",Weekly_Local!$T:$T,$A36,Weekly_Local!$B:$B,"&lt;&gt;")=0,"",SUMIFS(Weekly_Local!$B:$B,Weekly_Local!$U:$U,"2023-24",Weekly_Local!$T:$T,$A36))</f>
        <v>1</v>
      </c>
      <c r="D36" s="5" t="n">
        <f aca="false">IF(COUNTIFS(Weekly_Local!$U:$U,"2024-25",Weekly_Local!$T:$T,$A36,Weekly_Local!$B:$B,"&lt;&gt;")=0,"",SUMIFS(Weekly_Local!$B:$B,Weekly_Local!$U:$U,"2024-25",Weekly_Local!$T:$T,$A36))</f>
        <v>1</v>
      </c>
      <c r="E36" s="5" t="n">
        <f aca="false">IF(COUNTIFS(Weekly_Local!$U:$U,"2025-26",Weekly_Local!$T:$T,$A36,Weekly_Local!$B:$B,"&lt;&gt;")=0,"",SUMIFS(Weekly_Local!$B:$B,Weekly_Local!$U:$U,"2025-26",Weekly_Local!$T:$T,$A36))</f>
        <v>1</v>
      </c>
      <c r="F36" s="5" t="str">
        <f aca="false">IF(COUNTIFS(Weekly_Local!$U:$U,"2026-27",Weekly_Local!$T:$T,$A36,Weekly_Local!$B:$B,"&lt;&gt;")=0,"",SUMIFS(Weekly_Local!$B:$B,Weekly_Local!$U:$U,"2026-27",Weekly_Local!$T:$T,$A36))</f>
        <v/>
      </c>
      <c r="G36" s="5" t="str">
        <f aca="false">IF(AND($A36=53,DATE(YEAR(Config!$B$3),1,4)-WEEKDAY(DATE(YEAR(Config!$B$3),1,4))+1+364&gt;=DATE(YEAR(Config!$B$3)+1,1,4)-WEEKDAY(DATE(YEAR(Config!$B$3)+1,1,4))+1),"",TEXT(DATE(YEAR(Config!$B$3)+IF($A36&gt;=36,0,1),1,4)-WEEKDAY(DATE(YEAR(Config!$B$3)+IF($A36&gt;=36,0,1),1,4))+1+7*($A36-1)+1,"m/d/yy")&amp;" – "&amp;TEXT(DATE(YEAR(Config!$B$3)+IF($A36&gt;=36,0,1),1,4)-WEEKDAY(DATE(YEAR(Config!$B$3)+IF($A36&gt;=36,0,1),1,4))+1+7*($A36-1)+7,"m/d/yy"))</f>
        <v>4/5/27 – 4/11/27</v>
      </c>
    </row>
    <row r="37" customFormat="false" ht="15" hidden="false" customHeight="false" outlineLevel="0" collapsed="false">
      <c r="A37" s="5" t="n">
        <v>15</v>
      </c>
      <c r="B37" s="5" t="n">
        <f aca="false">IF(COUNTIFS(Weekly_Local!$U:$U,"2022-23",Weekly_Local!$T:$T,$A37,Weekly_Local!$B:$B,"&lt;&gt;")=0,"",SUMIFS(Weekly_Local!$B:$B,Weekly_Local!$U:$U,"2022-23",Weekly_Local!$T:$T,$A37))</f>
        <v>1</v>
      </c>
      <c r="C37" s="5" t="n">
        <f aca="false">IF(COUNTIFS(Weekly_Local!$U:$U,"2023-24",Weekly_Local!$T:$T,$A37,Weekly_Local!$B:$B,"&lt;&gt;")=0,"",SUMIFS(Weekly_Local!$B:$B,Weekly_Local!$U:$U,"2023-24",Weekly_Local!$T:$T,$A37))</f>
        <v>1</v>
      </c>
      <c r="D37" s="5" t="n">
        <f aca="false">IF(COUNTIFS(Weekly_Local!$U:$U,"2024-25",Weekly_Local!$T:$T,$A37,Weekly_Local!$B:$B,"&lt;&gt;")=0,"",SUMIFS(Weekly_Local!$B:$B,Weekly_Local!$U:$U,"2024-25",Weekly_Local!$T:$T,$A37))</f>
        <v>1</v>
      </c>
      <c r="E37" s="5" t="n">
        <f aca="false">IF(COUNTIFS(Weekly_Local!$U:$U,"2025-26",Weekly_Local!$T:$T,$A37,Weekly_Local!$B:$B,"&lt;&gt;")=0,"",SUMIFS(Weekly_Local!$B:$B,Weekly_Local!$U:$U,"2025-26",Weekly_Local!$T:$T,$A37))</f>
        <v>5</v>
      </c>
      <c r="F37" s="5" t="str">
        <f aca="false">IF(COUNTIFS(Weekly_Local!$U:$U,"2026-27",Weekly_Local!$T:$T,$A37,Weekly_Local!$B:$B,"&lt;&gt;")=0,"",SUMIFS(Weekly_Local!$B:$B,Weekly_Local!$U:$U,"2026-27",Weekly_Local!$T:$T,$A37))</f>
        <v/>
      </c>
      <c r="G37" s="5" t="str">
        <f aca="false">IF(AND($A37=53,DATE(YEAR(Config!$B$3),1,4)-WEEKDAY(DATE(YEAR(Config!$B$3),1,4))+1+364&gt;=DATE(YEAR(Config!$B$3)+1,1,4)-WEEKDAY(DATE(YEAR(Config!$B$3)+1,1,4))+1),"",TEXT(DATE(YEAR(Config!$B$3)+IF($A37&gt;=36,0,1),1,4)-WEEKDAY(DATE(YEAR(Config!$B$3)+IF($A37&gt;=36,0,1),1,4))+1+7*($A37-1)+1,"m/d/yy")&amp;" – "&amp;TEXT(DATE(YEAR(Config!$B$3)+IF($A37&gt;=36,0,1),1,4)-WEEKDAY(DATE(YEAR(Config!$B$3)+IF($A37&gt;=36,0,1),1,4))+1+7*($A37-1)+7,"m/d/yy"))</f>
        <v>4/12/27 – 4/18/27</v>
      </c>
    </row>
    <row r="38" customFormat="false" ht="15" hidden="false" customHeight="false" outlineLevel="0" collapsed="false">
      <c r="A38" s="5" t="n">
        <v>16</v>
      </c>
      <c r="B38" s="5" t="n">
        <f aca="false">IF(COUNTIFS(Weekly_Local!$U:$U,"2022-23",Weekly_Local!$T:$T,$A38,Weekly_Local!$B:$B,"&lt;&gt;")=0,"",SUMIFS(Weekly_Local!$B:$B,Weekly_Local!$U:$U,"2022-23",Weekly_Local!$T:$T,$A38))</f>
        <v>1</v>
      </c>
      <c r="C38" s="5" t="n">
        <f aca="false">IF(COUNTIFS(Weekly_Local!$U:$U,"2023-24",Weekly_Local!$T:$T,$A38,Weekly_Local!$B:$B,"&lt;&gt;")=0,"",SUMIFS(Weekly_Local!$B:$B,Weekly_Local!$U:$U,"2023-24",Weekly_Local!$T:$T,$A38))</f>
        <v>1</v>
      </c>
      <c r="D38" s="5" t="n">
        <f aca="false">IF(COUNTIFS(Weekly_Local!$U:$U,"2024-25",Weekly_Local!$T:$T,$A38,Weekly_Local!$B:$B,"&lt;&gt;")=0,"",SUMIFS(Weekly_Local!$B:$B,Weekly_Local!$U:$U,"2024-25",Weekly_Local!$T:$T,$A38))</f>
        <v>4</v>
      </c>
      <c r="E38" s="5" t="n">
        <f aca="false">IF(COUNTIFS(Weekly_Local!$U:$U,"2025-26",Weekly_Local!$T:$T,$A38,Weekly_Local!$B:$B,"&lt;&gt;")=0,"",SUMIFS(Weekly_Local!$B:$B,Weekly_Local!$U:$U,"2025-26",Weekly_Local!$T:$T,$A38))</f>
        <v>1</v>
      </c>
      <c r="F38" s="5" t="str">
        <f aca="false">IF(COUNTIFS(Weekly_Local!$U:$U,"2026-27",Weekly_Local!$T:$T,$A38,Weekly_Local!$B:$B,"&lt;&gt;")=0,"",SUMIFS(Weekly_Local!$B:$B,Weekly_Local!$U:$U,"2026-27",Weekly_Local!$T:$T,$A38))</f>
        <v/>
      </c>
      <c r="G38" s="5" t="str">
        <f aca="false">IF(AND($A38=53,DATE(YEAR(Config!$B$3),1,4)-WEEKDAY(DATE(YEAR(Config!$B$3),1,4))+1+364&gt;=DATE(YEAR(Config!$B$3)+1,1,4)-WEEKDAY(DATE(YEAR(Config!$B$3)+1,1,4))+1),"",TEXT(DATE(YEAR(Config!$B$3)+IF($A38&gt;=36,0,1),1,4)-WEEKDAY(DATE(YEAR(Config!$B$3)+IF($A38&gt;=36,0,1),1,4))+1+7*($A38-1)+1,"m/d/yy")&amp;" – "&amp;TEXT(DATE(YEAR(Config!$B$3)+IF($A38&gt;=36,0,1),1,4)-WEEKDAY(DATE(YEAR(Config!$B$3)+IF($A38&gt;=36,0,1),1,4))+1+7*($A38-1)+7,"m/d/yy"))</f>
        <v>4/19/27 – 4/25/27</v>
      </c>
    </row>
    <row r="39" customFormat="false" ht="15" hidden="false" customHeight="false" outlineLevel="0" collapsed="false">
      <c r="A39" s="5" t="n">
        <v>17</v>
      </c>
      <c r="B39" s="5" t="n">
        <f aca="false">IF(COUNTIFS(Weekly_Local!$U:$U,"2022-23",Weekly_Local!$T:$T,$A39,Weekly_Local!$B:$B,"&lt;&gt;")=0,"",SUMIFS(Weekly_Local!$B:$B,Weekly_Local!$U:$U,"2022-23",Weekly_Local!$T:$T,$A39))</f>
        <v>2</v>
      </c>
      <c r="C39" s="5" t="n">
        <f aca="false">IF(COUNTIFS(Weekly_Local!$U:$U,"2023-24",Weekly_Local!$T:$T,$A39,Weekly_Local!$B:$B,"&lt;&gt;")=0,"",SUMIFS(Weekly_Local!$B:$B,Weekly_Local!$U:$U,"2023-24",Weekly_Local!$T:$T,$A39))</f>
        <v>0</v>
      </c>
      <c r="D39" s="5" t="n">
        <f aca="false">IF(COUNTIFS(Weekly_Local!$U:$U,"2024-25",Weekly_Local!$T:$T,$A39,Weekly_Local!$B:$B,"&lt;&gt;")=0,"",SUMIFS(Weekly_Local!$B:$B,Weekly_Local!$U:$U,"2024-25",Weekly_Local!$T:$T,$A39))</f>
        <v>1</v>
      </c>
      <c r="E39" s="5" t="n">
        <f aca="false">IF(COUNTIFS(Weekly_Local!$U:$U,"2025-26",Weekly_Local!$T:$T,$A39,Weekly_Local!$B:$B,"&lt;&gt;")=0,"",SUMIFS(Weekly_Local!$B:$B,Weekly_Local!$U:$U,"2025-26",Weekly_Local!$T:$T,$A39))</f>
        <v>0</v>
      </c>
      <c r="F39" s="5" t="str">
        <f aca="false">IF(COUNTIFS(Weekly_Local!$U:$U,"2026-27",Weekly_Local!$T:$T,$A39,Weekly_Local!$B:$B,"&lt;&gt;")=0,"",SUMIFS(Weekly_Local!$B:$B,Weekly_Local!$U:$U,"2026-27",Weekly_Local!$T:$T,$A39))</f>
        <v/>
      </c>
      <c r="G39" s="5" t="str">
        <f aca="false">IF(AND($A39=53,DATE(YEAR(Config!$B$3),1,4)-WEEKDAY(DATE(YEAR(Config!$B$3),1,4))+1+364&gt;=DATE(YEAR(Config!$B$3)+1,1,4)-WEEKDAY(DATE(YEAR(Config!$B$3)+1,1,4))+1),"",TEXT(DATE(YEAR(Config!$B$3)+IF($A39&gt;=36,0,1),1,4)-WEEKDAY(DATE(YEAR(Config!$B$3)+IF($A39&gt;=36,0,1),1,4))+1+7*($A39-1)+1,"m/d/yy")&amp;" – "&amp;TEXT(DATE(YEAR(Config!$B$3)+IF($A39&gt;=36,0,1),1,4)-WEEKDAY(DATE(YEAR(Config!$B$3)+IF($A39&gt;=36,0,1),1,4))+1+7*($A39-1)+7,"m/d/yy"))</f>
        <v>4/26/27 – 5/2/27</v>
      </c>
    </row>
    <row r="40" customFormat="false" ht="15" hidden="false" customHeight="false" outlineLevel="0" collapsed="false">
      <c r="A40" s="5" t="n">
        <v>18</v>
      </c>
      <c r="B40" s="5" t="n">
        <f aca="false">IF(COUNTIFS(Weekly_Local!$U:$U,"2022-23",Weekly_Local!$T:$T,$A40,Weekly_Local!$B:$B,"&lt;&gt;")=0,"",SUMIFS(Weekly_Local!$B:$B,Weekly_Local!$U:$U,"2022-23",Weekly_Local!$T:$T,$A40))</f>
        <v>1</v>
      </c>
      <c r="C40" s="5" t="n">
        <f aca="false">IF(COUNTIFS(Weekly_Local!$U:$U,"2023-24",Weekly_Local!$T:$T,$A40,Weekly_Local!$B:$B,"&lt;&gt;")=0,"",SUMIFS(Weekly_Local!$B:$B,Weekly_Local!$U:$U,"2023-24",Weekly_Local!$T:$T,$A40))</f>
        <v>0</v>
      </c>
      <c r="D40" s="5" t="n">
        <f aca="false">IF(COUNTIFS(Weekly_Local!$U:$U,"2024-25",Weekly_Local!$T:$T,$A40,Weekly_Local!$B:$B,"&lt;&gt;")=0,"",SUMIFS(Weekly_Local!$B:$B,Weekly_Local!$U:$U,"2024-25",Weekly_Local!$T:$T,$A40))</f>
        <v>2</v>
      </c>
      <c r="E40" s="5" t="n">
        <f aca="false">IF(COUNTIFS(Weekly_Local!$U:$U,"2025-26",Weekly_Local!$T:$T,$A40,Weekly_Local!$B:$B,"&lt;&gt;")=0,"",SUMIFS(Weekly_Local!$B:$B,Weekly_Local!$U:$U,"2025-26",Weekly_Local!$T:$T,$A40))</f>
        <v>0</v>
      </c>
      <c r="F40" s="5" t="str">
        <f aca="false">IF(COUNTIFS(Weekly_Local!$U:$U,"2026-27",Weekly_Local!$T:$T,$A40,Weekly_Local!$B:$B,"&lt;&gt;")=0,"",SUMIFS(Weekly_Local!$B:$B,Weekly_Local!$U:$U,"2026-27",Weekly_Local!$T:$T,$A40))</f>
        <v/>
      </c>
      <c r="G40" s="5" t="str">
        <f aca="false">IF(AND($A40=53,DATE(YEAR(Config!$B$3),1,4)-WEEKDAY(DATE(YEAR(Config!$B$3),1,4))+1+364&gt;=DATE(YEAR(Config!$B$3)+1,1,4)-WEEKDAY(DATE(YEAR(Config!$B$3)+1,1,4))+1),"",TEXT(DATE(YEAR(Config!$B$3)+IF($A40&gt;=36,0,1),1,4)-WEEKDAY(DATE(YEAR(Config!$B$3)+IF($A40&gt;=36,0,1),1,4))+1+7*($A40-1)+1,"m/d/yy")&amp;" – "&amp;TEXT(DATE(YEAR(Config!$B$3)+IF($A40&gt;=36,0,1),1,4)-WEEKDAY(DATE(YEAR(Config!$B$3)+IF($A40&gt;=36,0,1),1,4))+1+7*($A40-1)+7,"m/d/yy"))</f>
        <v>5/3/27 – 5/9/27</v>
      </c>
    </row>
    <row r="41" customFormat="false" ht="15" hidden="false" customHeight="false" outlineLevel="0" collapsed="false">
      <c r="A41" s="5" t="n">
        <v>19</v>
      </c>
      <c r="B41" s="5" t="n">
        <f aca="false">IF(COUNTIFS(Weekly_Local!$U:$U,"2022-23",Weekly_Local!$T:$T,$A41,Weekly_Local!$B:$B,"&lt;&gt;")=0,"",SUMIFS(Weekly_Local!$B:$B,Weekly_Local!$U:$U,"2022-23",Weekly_Local!$T:$T,$A41))</f>
        <v>2</v>
      </c>
      <c r="C41" s="5" t="n">
        <f aca="false">IF(COUNTIFS(Weekly_Local!$U:$U,"2023-24",Weekly_Local!$T:$T,$A41,Weekly_Local!$B:$B,"&lt;&gt;")=0,"",SUMIFS(Weekly_Local!$B:$B,Weekly_Local!$U:$U,"2023-24",Weekly_Local!$T:$T,$A41))</f>
        <v>1</v>
      </c>
      <c r="D41" s="5" t="n">
        <f aca="false">IF(COUNTIFS(Weekly_Local!$U:$U,"2024-25",Weekly_Local!$T:$T,$A41,Weekly_Local!$B:$B,"&lt;&gt;")=0,"",SUMIFS(Weekly_Local!$B:$B,Weekly_Local!$U:$U,"2024-25",Weekly_Local!$T:$T,$A41))</f>
        <v>1</v>
      </c>
      <c r="E41" s="5" t="n">
        <f aca="false">IF(COUNTIFS(Weekly_Local!$U:$U,"2025-26",Weekly_Local!$T:$T,$A41,Weekly_Local!$B:$B,"&lt;&gt;")=0,"",SUMIFS(Weekly_Local!$B:$B,Weekly_Local!$U:$U,"2025-26",Weekly_Local!$T:$T,$A41))</f>
        <v>0</v>
      </c>
      <c r="F41" s="5" t="str">
        <f aca="false">IF(COUNTIFS(Weekly_Local!$U:$U,"2026-27",Weekly_Local!$T:$T,$A41,Weekly_Local!$B:$B,"&lt;&gt;")=0,"",SUMIFS(Weekly_Local!$B:$B,Weekly_Local!$U:$U,"2026-27",Weekly_Local!$T:$T,$A41))</f>
        <v/>
      </c>
      <c r="G41" s="5" t="str">
        <f aca="false">IF(AND($A41=53,DATE(YEAR(Config!$B$3),1,4)-WEEKDAY(DATE(YEAR(Config!$B$3),1,4))+1+364&gt;=DATE(YEAR(Config!$B$3)+1,1,4)-WEEKDAY(DATE(YEAR(Config!$B$3)+1,1,4))+1),"",TEXT(DATE(YEAR(Config!$B$3)+IF($A41&gt;=36,0,1),1,4)-WEEKDAY(DATE(YEAR(Config!$B$3)+IF($A41&gt;=36,0,1),1,4))+1+7*($A41-1)+1,"m/d/yy")&amp;" – "&amp;TEXT(DATE(YEAR(Config!$B$3)+IF($A41&gt;=36,0,1),1,4)-WEEKDAY(DATE(YEAR(Config!$B$3)+IF($A41&gt;=36,0,1),1,4))+1+7*($A41-1)+7,"m/d/yy"))</f>
        <v>5/10/27 – 5/16/27</v>
      </c>
    </row>
    <row r="42" customFormat="false" ht="15" hidden="false" customHeight="false" outlineLevel="0" collapsed="false">
      <c r="A42" s="5" t="n">
        <v>20</v>
      </c>
      <c r="B42" s="5" t="n">
        <f aca="false">IF(COUNTIFS(Weekly_Local!$U:$U,"2022-23",Weekly_Local!$T:$T,$A42,Weekly_Local!$B:$B,"&lt;&gt;")=0,"",SUMIFS(Weekly_Local!$B:$B,Weekly_Local!$U:$U,"2022-23",Weekly_Local!$T:$T,$A42))</f>
        <v>1</v>
      </c>
      <c r="C42" s="5" t="n">
        <f aca="false">IF(COUNTIFS(Weekly_Local!$U:$U,"2023-24",Weekly_Local!$T:$T,$A42,Weekly_Local!$B:$B,"&lt;&gt;")=0,"",SUMIFS(Weekly_Local!$B:$B,Weekly_Local!$U:$U,"2023-24",Weekly_Local!$T:$T,$A42))</f>
        <v>0</v>
      </c>
      <c r="D42" s="5" t="n">
        <f aca="false">IF(COUNTIFS(Weekly_Local!$U:$U,"2024-25",Weekly_Local!$T:$T,$A42,Weekly_Local!$B:$B,"&lt;&gt;")=0,"",SUMIFS(Weekly_Local!$B:$B,Weekly_Local!$U:$U,"2024-25",Weekly_Local!$T:$T,$A42))</f>
        <v>0</v>
      </c>
      <c r="E42" s="5" t="n">
        <f aca="false">IF(COUNTIFS(Weekly_Local!$U:$U,"2025-26",Weekly_Local!$T:$T,$A42,Weekly_Local!$B:$B,"&lt;&gt;")=0,"",SUMIFS(Weekly_Local!$B:$B,Weekly_Local!$U:$U,"2025-26",Weekly_Local!$T:$T,$A42))</f>
        <v>1</v>
      </c>
      <c r="F42" s="5" t="str">
        <f aca="false">IF(COUNTIFS(Weekly_Local!$U:$U,"2026-27",Weekly_Local!$T:$T,$A42,Weekly_Local!$B:$B,"&lt;&gt;")=0,"",SUMIFS(Weekly_Local!$B:$B,Weekly_Local!$U:$U,"2026-27",Weekly_Local!$T:$T,$A42))</f>
        <v/>
      </c>
      <c r="G42" s="5" t="str">
        <f aca="false">IF(AND($A42=53,DATE(YEAR(Config!$B$3),1,4)-WEEKDAY(DATE(YEAR(Config!$B$3),1,4))+1+364&gt;=DATE(YEAR(Config!$B$3)+1,1,4)-WEEKDAY(DATE(YEAR(Config!$B$3)+1,1,4))+1),"",TEXT(DATE(YEAR(Config!$B$3)+IF($A42&gt;=36,0,1),1,4)-WEEKDAY(DATE(YEAR(Config!$B$3)+IF($A42&gt;=36,0,1),1,4))+1+7*($A42-1)+1,"m/d/yy")&amp;" – "&amp;TEXT(DATE(YEAR(Config!$B$3)+IF($A42&gt;=36,0,1),1,4)-WEEKDAY(DATE(YEAR(Config!$B$3)+IF($A42&gt;=36,0,1),1,4))+1+7*($A42-1)+7,"m/d/yy"))</f>
        <v>5/17/27 – 5/23/27</v>
      </c>
    </row>
    <row r="43" customFormat="false" ht="15" hidden="false" customHeight="false" outlineLevel="0" collapsed="false">
      <c r="A43" s="5" t="n">
        <v>21</v>
      </c>
      <c r="B43" s="5" t="n">
        <f aca="false">IF(COUNTIFS(Weekly_Local!$U:$U,"2022-23",Weekly_Local!$T:$T,$A43,Weekly_Local!$B:$B,"&lt;&gt;")=0,"",SUMIFS(Weekly_Local!$B:$B,Weekly_Local!$U:$U,"2022-23",Weekly_Local!$T:$T,$A43))</f>
        <v>1</v>
      </c>
      <c r="C43" s="5" t="n">
        <f aca="false">IF(COUNTIFS(Weekly_Local!$U:$U,"2023-24",Weekly_Local!$T:$T,$A43,Weekly_Local!$B:$B,"&lt;&gt;")=0,"",SUMIFS(Weekly_Local!$B:$B,Weekly_Local!$U:$U,"2023-24",Weekly_Local!$T:$T,$A43))</f>
        <v>2</v>
      </c>
      <c r="D43" s="5" t="n">
        <f aca="false">IF(COUNTIFS(Weekly_Local!$U:$U,"2024-25",Weekly_Local!$T:$T,$A43,Weekly_Local!$B:$B,"&lt;&gt;")=0,"",SUMIFS(Weekly_Local!$B:$B,Weekly_Local!$U:$U,"2024-25",Weekly_Local!$T:$T,$A43))</f>
        <v>1</v>
      </c>
      <c r="E43" s="5" t="n">
        <f aca="false">IF(COUNTIFS(Weekly_Local!$U:$U,"2025-26",Weekly_Local!$T:$T,$A43,Weekly_Local!$B:$B,"&lt;&gt;")=0,"",SUMIFS(Weekly_Local!$B:$B,Weekly_Local!$U:$U,"2025-26",Weekly_Local!$T:$T,$A43))</f>
        <v>1</v>
      </c>
      <c r="F43" s="5" t="str">
        <f aca="false">IF(COUNTIFS(Weekly_Local!$U:$U,"2026-27",Weekly_Local!$T:$T,$A43,Weekly_Local!$B:$B,"&lt;&gt;")=0,"",SUMIFS(Weekly_Local!$B:$B,Weekly_Local!$U:$U,"2026-27",Weekly_Local!$T:$T,$A43))</f>
        <v/>
      </c>
      <c r="G43" s="5" t="str">
        <f aca="false">IF(AND($A43=53,DATE(YEAR(Config!$B$3),1,4)-WEEKDAY(DATE(YEAR(Config!$B$3),1,4))+1+364&gt;=DATE(YEAR(Config!$B$3)+1,1,4)-WEEKDAY(DATE(YEAR(Config!$B$3)+1,1,4))+1),"",TEXT(DATE(YEAR(Config!$B$3)+IF($A43&gt;=36,0,1),1,4)-WEEKDAY(DATE(YEAR(Config!$B$3)+IF($A43&gt;=36,0,1),1,4))+1+7*($A43-1)+1,"m/d/yy")&amp;" – "&amp;TEXT(DATE(YEAR(Config!$B$3)+IF($A43&gt;=36,0,1),1,4)-WEEKDAY(DATE(YEAR(Config!$B$3)+IF($A43&gt;=36,0,1),1,4))+1+7*($A43-1)+7,"m/d/yy"))</f>
        <v>5/24/27 – 5/30/27</v>
      </c>
    </row>
    <row r="44" customFormat="false" ht="15" hidden="false" customHeight="false" outlineLevel="0" collapsed="false">
      <c r="A44" s="5" t="n">
        <v>22</v>
      </c>
      <c r="B44" s="5" t="n">
        <f aca="false">IF(COUNTIFS(Weekly_Local!$U:$U,"2022-23",Weekly_Local!$T:$T,$A44,Weekly_Local!$B:$B,"&lt;&gt;")=0,"",SUMIFS(Weekly_Local!$B:$B,Weekly_Local!$U:$U,"2022-23",Weekly_Local!$T:$T,$A44))</f>
        <v>0</v>
      </c>
      <c r="C44" s="5" t="n">
        <f aca="false">IF(COUNTIFS(Weekly_Local!$U:$U,"2023-24",Weekly_Local!$T:$T,$A44,Weekly_Local!$B:$B,"&lt;&gt;")=0,"",SUMIFS(Weekly_Local!$B:$B,Weekly_Local!$U:$U,"2023-24",Weekly_Local!$T:$T,$A44))</f>
        <v>1</v>
      </c>
      <c r="D44" s="5" t="n">
        <f aca="false">IF(COUNTIFS(Weekly_Local!$U:$U,"2024-25",Weekly_Local!$T:$T,$A44,Weekly_Local!$B:$B,"&lt;&gt;")=0,"",SUMIFS(Weekly_Local!$B:$B,Weekly_Local!$U:$U,"2024-25",Weekly_Local!$T:$T,$A44))</f>
        <v>1</v>
      </c>
      <c r="E44" s="5" t="n">
        <f aca="false">IF(COUNTIFS(Weekly_Local!$U:$U,"2025-26",Weekly_Local!$T:$T,$A44,Weekly_Local!$B:$B,"&lt;&gt;")=0,"",SUMIFS(Weekly_Local!$B:$B,Weekly_Local!$U:$U,"2025-26",Weekly_Local!$T:$T,$A44))</f>
        <v>0</v>
      </c>
      <c r="F44" s="5" t="str">
        <f aca="false">IF(COUNTIFS(Weekly_Local!$U:$U,"2026-27",Weekly_Local!$T:$T,$A44,Weekly_Local!$B:$B,"&lt;&gt;")=0,"",SUMIFS(Weekly_Local!$B:$B,Weekly_Local!$U:$U,"2026-27",Weekly_Local!$T:$T,$A44))</f>
        <v/>
      </c>
      <c r="G44" s="5" t="str">
        <f aca="false">IF(AND($A44=53,DATE(YEAR(Config!$B$3),1,4)-WEEKDAY(DATE(YEAR(Config!$B$3),1,4))+1+364&gt;=DATE(YEAR(Config!$B$3)+1,1,4)-WEEKDAY(DATE(YEAR(Config!$B$3)+1,1,4))+1),"",TEXT(DATE(YEAR(Config!$B$3)+IF($A44&gt;=36,0,1),1,4)-WEEKDAY(DATE(YEAR(Config!$B$3)+IF($A44&gt;=36,0,1),1,4))+1+7*($A44-1)+1,"m/d/yy")&amp;" – "&amp;TEXT(DATE(YEAR(Config!$B$3)+IF($A44&gt;=36,0,1),1,4)-WEEKDAY(DATE(YEAR(Config!$B$3)+IF($A44&gt;=36,0,1),1,4))+1+7*($A44-1)+7,"m/d/yy"))</f>
        <v>5/31/27 – 6/6/27</v>
      </c>
    </row>
    <row r="45" customFormat="false" ht="15" hidden="false" customHeight="false" outlineLevel="0" collapsed="false">
      <c r="A45" s="5" t="n">
        <v>23</v>
      </c>
      <c r="B45" s="5" t="n">
        <f aca="false">IF(COUNTIFS(Weekly_Local!$U:$U,"2022-23",Weekly_Local!$T:$T,$A45,Weekly_Local!$B:$B,"&lt;&gt;")=0,"",SUMIFS(Weekly_Local!$B:$B,Weekly_Local!$U:$U,"2022-23",Weekly_Local!$T:$T,$A45))</f>
        <v>5</v>
      </c>
      <c r="C45" s="5" t="n">
        <f aca="false">IF(COUNTIFS(Weekly_Local!$U:$U,"2023-24",Weekly_Local!$T:$T,$A45,Weekly_Local!$B:$B,"&lt;&gt;")=0,"",SUMIFS(Weekly_Local!$B:$B,Weekly_Local!$U:$U,"2023-24",Weekly_Local!$T:$T,$A45))</f>
        <v>1</v>
      </c>
      <c r="D45" s="5" t="n">
        <f aca="false">IF(COUNTIFS(Weekly_Local!$U:$U,"2024-25",Weekly_Local!$T:$T,$A45,Weekly_Local!$B:$B,"&lt;&gt;")=0,"",SUMIFS(Weekly_Local!$B:$B,Weekly_Local!$U:$U,"2024-25",Weekly_Local!$T:$T,$A45))</f>
        <v>0</v>
      </c>
      <c r="E45" s="5" t="n">
        <f aca="false">IF(COUNTIFS(Weekly_Local!$U:$U,"2025-26",Weekly_Local!$T:$T,$A45,Weekly_Local!$B:$B,"&lt;&gt;")=0,"",SUMIFS(Weekly_Local!$B:$B,Weekly_Local!$U:$U,"2025-26",Weekly_Local!$T:$T,$A45))</f>
        <v>0</v>
      </c>
      <c r="F45" s="5" t="str">
        <f aca="false">IF(COUNTIFS(Weekly_Local!$U:$U,"2026-27",Weekly_Local!$T:$T,$A45,Weekly_Local!$B:$B,"&lt;&gt;")=0,"",SUMIFS(Weekly_Local!$B:$B,Weekly_Local!$U:$U,"2026-27",Weekly_Local!$T:$T,$A45))</f>
        <v/>
      </c>
      <c r="G45" s="5" t="str">
        <f aca="false">IF(AND($A45=53,DATE(YEAR(Config!$B$3),1,4)-WEEKDAY(DATE(YEAR(Config!$B$3),1,4))+1+364&gt;=DATE(YEAR(Config!$B$3)+1,1,4)-WEEKDAY(DATE(YEAR(Config!$B$3)+1,1,4))+1),"",TEXT(DATE(YEAR(Config!$B$3)+IF($A45&gt;=36,0,1),1,4)-WEEKDAY(DATE(YEAR(Config!$B$3)+IF($A45&gt;=36,0,1),1,4))+1+7*($A45-1)+1,"m/d/yy")&amp;" – "&amp;TEXT(DATE(YEAR(Config!$B$3)+IF($A45&gt;=36,0,1),1,4)-WEEKDAY(DATE(YEAR(Config!$B$3)+IF($A45&gt;=36,0,1),1,4))+1+7*($A45-1)+7,"m/d/yy"))</f>
        <v>6/7/27 – 6/13/27</v>
      </c>
    </row>
    <row r="46" customFormat="false" ht="15" hidden="false" customHeight="false" outlineLevel="0" collapsed="false">
      <c r="A46" s="5" t="n">
        <v>24</v>
      </c>
      <c r="B46" s="5" t="n">
        <f aca="false">IF(COUNTIFS(Weekly_Local!$U:$U,"2022-23",Weekly_Local!$T:$T,$A46,Weekly_Local!$B:$B,"&lt;&gt;")=0,"",SUMIFS(Weekly_Local!$B:$B,Weekly_Local!$U:$U,"2022-23",Weekly_Local!$T:$T,$A46))</f>
        <v>5</v>
      </c>
      <c r="C46" s="5" t="n">
        <f aca="false">IF(COUNTIFS(Weekly_Local!$U:$U,"2023-24",Weekly_Local!$T:$T,$A46,Weekly_Local!$B:$B,"&lt;&gt;")=0,"",SUMIFS(Weekly_Local!$B:$B,Weekly_Local!$U:$U,"2023-24",Weekly_Local!$T:$T,$A46))</f>
        <v>2</v>
      </c>
      <c r="D46" s="5" t="n">
        <f aca="false">IF(COUNTIFS(Weekly_Local!$U:$U,"2024-25",Weekly_Local!$T:$T,$A46,Weekly_Local!$B:$B,"&lt;&gt;")=0,"",SUMIFS(Weekly_Local!$B:$B,Weekly_Local!$U:$U,"2024-25",Weekly_Local!$T:$T,$A46))</f>
        <v>0</v>
      </c>
      <c r="E46" s="5" t="n">
        <f aca="false">IF(COUNTIFS(Weekly_Local!$U:$U,"2025-26",Weekly_Local!$T:$T,$A46,Weekly_Local!$B:$B,"&lt;&gt;")=0,"",SUMIFS(Weekly_Local!$B:$B,Weekly_Local!$U:$U,"2025-26",Weekly_Local!$T:$T,$A46))</f>
        <v>0</v>
      </c>
      <c r="F46" s="5" t="str">
        <f aca="false">IF(COUNTIFS(Weekly_Local!$U:$U,"2026-27",Weekly_Local!$T:$T,$A46,Weekly_Local!$B:$B,"&lt;&gt;")=0,"",SUMIFS(Weekly_Local!$B:$B,Weekly_Local!$U:$U,"2026-27",Weekly_Local!$T:$T,$A46))</f>
        <v/>
      </c>
      <c r="G46" s="5" t="str">
        <f aca="false">IF(AND($A46=53,DATE(YEAR(Config!$B$3),1,4)-WEEKDAY(DATE(YEAR(Config!$B$3),1,4))+1+364&gt;=DATE(YEAR(Config!$B$3)+1,1,4)-WEEKDAY(DATE(YEAR(Config!$B$3)+1,1,4))+1),"",TEXT(DATE(YEAR(Config!$B$3)+IF($A46&gt;=36,0,1),1,4)-WEEKDAY(DATE(YEAR(Config!$B$3)+IF($A46&gt;=36,0,1),1,4))+1+7*($A46-1)+1,"m/d/yy")&amp;" – "&amp;TEXT(DATE(YEAR(Config!$B$3)+IF($A46&gt;=36,0,1),1,4)-WEEKDAY(DATE(YEAR(Config!$B$3)+IF($A46&gt;=36,0,1),1,4))+1+7*($A46-1)+7,"m/d/yy"))</f>
        <v>6/14/27 – 6/20/27</v>
      </c>
    </row>
    <row r="47" customFormat="false" ht="15" hidden="false" customHeight="false" outlineLevel="0" collapsed="false">
      <c r="A47" s="5" t="n">
        <v>25</v>
      </c>
      <c r="B47" s="5" t="n">
        <f aca="false">IF(COUNTIFS(Weekly_Local!$U:$U,"2022-23",Weekly_Local!$T:$T,$A47,Weekly_Local!$B:$B,"&lt;&gt;")=0,"",SUMIFS(Weekly_Local!$B:$B,Weekly_Local!$U:$U,"2022-23",Weekly_Local!$T:$T,$A47))</f>
        <v>2</v>
      </c>
      <c r="C47" s="5" t="n">
        <f aca="false">IF(COUNTIFS(Weekly_Local!$U:$U,"2023-24",Weekly_Local!$T:$T,$A47,Weekly_Local!$B:$B,"&lt;&gt;")=0,"",SUMIFS(Weekly_Local!$B:$B,Weekly_Local!$U:$U,"2023-24",Weekly_Local!$T:$T,$A47))</f>
        <v>4</v>
      </c>
      <c r="D47" s="5" t="n">
        <f aca="false">IF(COUNTIFS(Weekly_Local!$U:$U,"2024-25",Weekly_Local!$T:$T,$A47,Weekly_Local!$B:$B,"&lt;&gt;")=0,"",SUMIFS(Weekly_Local!$B:$B,Weekly_Local!$U:$U,"2024-25",Weekly_Local!$T:$T,$A47))</f>
        <v>1</v>
      </c>
      <c r="E47" s="5" t="n">
        <f aca="false">IF(COUNTIFS(Weekly_Local!$U:$U,"2025-26",Weekly_Local!$T:$T,$A47,Weekly_Local!$B:$B,"&lt;&gt;")=0,"",SUMIFS(Weekly_Local!$B:$B,Weekly_Local!$U:$U,"2025-26",Weekly_Local!$T:$T,$A47))</f>
        <v>0</v>
      </c>
      <c r="F47" s="5" t="str">
        <f aca="false">IF(COUNTIFS(Weekly_Local!$U:$U,"2026-27",Weekly_Local!$T:$T,$A47,Weekly_Local!$B:$B,"&lt;&gt;")=0,"",SUMIFS(Weekly_Local!$B:$B,Weekly_Local!$U:$U,"2026-27",Weekly_Local!$T:$T,$A47))</f>
        <v/>
      </c>
      <c r="G47" s="5" t="str">
        <f aca="false">IF(AND($A47=53,DATE(YEAR(Config!$B$3),1,4)-WEEKDAY(DATE(YEAR(Config!$B$3),1,4))+1+364&gt;=DATE(YEAR(Config!$B$3)+1,1,4)-WEEKDAY(DATE(YEAR(Config!$B$3)+1,1,4))+1),"",TEXT(DATE(YEAR(Config!$B$3)+IF($A47&gt;=36,0,1),1,4)-WEEKDAY(DATE(YEAR(Config!$B$3)+IF($A47&gt;=36,0,1),1,4))+1+7*($A47-1)+1,"m/d/yy")&amp;" – "&amp;TEXT(DATE(YEAR(Config!$B$3)+IF($A47&gt;=36,0,1),1,4)-WEEKDAY(DATE(YEAR(Config!$B$3)+IF($A47&gt;=36,0,1),1,4))+1+7*($A47-1)+7,"m/d/yy"))</f>
        <v>6/21/27 – 6/27/27</v>
      </c>
    </row>
    <row r="48" customFormat="false" ht="15" hidden="false" customHeight="false" outlineLevel="0" collapsed="false">
      <c r="A48" s="5" t="n">
        <v>26</v>
      </c>
      <c r="B48" s="5" t="n">
        <f aca="false">IF(COUNTIFS(Weekly_Local!$U:$U,"2022-23",Weekly_Local!$T:$T,$A48,Weekly_Local!$B:$B,"&lt;&gt;")=0,"",SUMIFS(Weekly_Local!$B:$B,Weekly_Local!$U:$U,"2022-23",Weekly_Local!$T:$T,$A48))</f>
        <v>0</v>
      </c>
      <c r="C48" s="5" t="n">
        <f aca="false">IF(COUNTIFS(Weekly_Local!$U:$U,"2023-24",Weekly_Local!$T:$T,$A48,Weekly_Local!$B:$B,"&lt;&gt;")=0,"",SUMIFS(Weekly_Local!$B:$B,Weekly_Local!$U:$U,"2023-24",Weekly_Local!$T:$T,$A48))</f>
        <v>2</v>
      </c>
      <c r="D48" s="5" t="n">
        <f aca="false">IF(COUNTIFS(Weekly_Local!$U:$U,"2024-25",Weekly_Local!$T:$T,$A48,Weekly_Local!$B:$B,"&lt;&gt;")=0,"",SUMIFS(Weekly_Local!$B:$B,Weekly_Local!$U:$U,"2024-25",Weekly_Local!$T:$T,$A48))</f>
        <v>0</v>
      </c>
      <c r="E48" s="5" t="n">
        <f aca="false">IF(COUNTIFS(Weekly_Local!$U:$U,"2025-26",Weekly_Local!$T:$T,$A48,Weekly_Local!$B:$B,"&lt;&gt;")=0,"",SUMIFS(Weekly_Local!$B:$B,Weekly_Local!$U:$U,"2025-26",Weekly_Local!$T:$T,$A48))</f>
        <v>0</v>
      </c>
      <c r="F48" s="5" t="str">
        <f aca="false">IF(COUNTIFS(Weekly_Local!$U:$U,"2026-27",Weekly_Local!$T:$T,$A48,Weekly_Local!$B:$B,"&lt;&gt;")=0,"",SUMIFS(Weekly_Local!$B:$B,Weekly_Local!$U:$U,"2026-27",Weekly_Local!$T:$T,$A48))</f>
        <v/>
      </c>
      <c r="G48" s="5" t="str">
        <f aca="false">IF(AND($A48=53,DATE(YEAR(Config!$B$3),1,4)-WEEKDAY(DATE(YEAR(Config!$B$3),1,4))+1+364&gt;=DATE(YEAR(Config!$B$3)+1,1,4)-WEEKDAY(DATE(YEAR(Config!$B$3)+1,1,4))+1),"",TEXT(DATE(YEAR(Config!$B$3)+IF($A48&gt;=36,0,1),1,4)-WEEKDAY(DATE(YEAR(Config!$B$3)+IF($A48&gt;=36,0,1),1,4))+1+7*($A48-1)+1,"m/d/yy")&amp;" – "&amp;TEXT(DATE(YEAR(Config!$B$3)+IF($A48&gt;=36,0,1),1,4)-WEEKDAY(DATE(YEAR(Config!$B$3)+IF($A48&gt;=36,0,1),1,4))+1+7*($A48-1)+7,"m/d/yy"))</f>
        <v>6/28/27 – 7/4/27</v>
      </c>
    </row>
    <row r="49" customFormat="false" ht="15" hidden="false" customHeight="false" outlineLevel="0" collapsed="false">
      <c r="A49" s="5" t="n">
        <v>27</v>
      </c>
      <c r="B49" s="5" t="n">
        <f aca="false">IF(COUNTIFS(Weekly_Local!$U:$U,"2022-23",Weekly_Local!$T:$T,$A49,Weekly_Local!$B:$B,"&lt;&gt;")=0,"",SUMIFS(Weekly_Local!$B:$B,Weekly_Local!$U:$U,"2022-23",Weekly_Local!$T:$T,$A49))</f>
        <v>3</v>
      </c>
      <c r="C49" s="5" t="n">
        <f aca="false">IF(COUNTIFS(Weekly_Local!$U:$U,"2023-24",Weekly_Local!$T:$T,$A49,Weekly_Local!$B:$B,"&lt;&gt;")=0,"",SUMIFS(Weekly_Local!$B:$B,Weekly_Local!$U:$U,"2023-24",Weekly_Local!$T:$T,$A49))</f>
        <v>4</v>
      </c>
      <c r="D49" s="5" t="n">
        <f aca="false">IF(COUNTIFS(Weekly_Local!$U:$U,"2024-25",Weekly_Local!$T:$T,$A49,Weekly_Local!$B:$B,"&lt;&gt;")=0,"",SUMIFS(Weekly_Local!$B:$B,Weekly_Local!$U:$U,"2024-25",Weekly_Local!$T:$T,$A49))</f>
        <v>0</v>
      </c>
      <c r="E49" s="5" t="n">
        <f aca="false">IF(COUNTIFS(Weekly_Local!$U:$U,"2025-26",Weekly_Local!$T:$T,$A49,Weekly_Local!$B:$B,"&lt;&gt;")=0,"",SUMIFS(Weekly_Local!$B:$B,Weekly_Local!$U:$U,"2025-26",Weekly_Local!$T:$T,$A49))</f>
        <v>1</v>
      </c>
      <c r="F49" s="5" t="str">
        <f aca="false">IF(COUNTIFS(Weekly_Local!$U:$U,"2026-27",Weekly_Local!$T:$T,$A49,Weekly_Local!$B:$B,"&lt;&gt;")=0,"",SUMIFS(Weekly_Local!$B:$B,Weekly_Local!$U:$U,"2026-27",Weekly_Local!$T:$T,$A49))</f>
        <v/>
      </c>
      <c r="G49" s="5" t="str">
        <f aca="false">IF(AND($A49=53,DATE(YEAR(Config!$B$3),1,4)-WEEKDAY(DATE(YEAR(Config!$B$3),1,4))+1+364&gt;=DATE(YEAR(Config!$B$3)+1,1,4)-WEEKDAY(DATE(YEAR(Config!$B$3)+1,1,4))+1),"",TEXT(DATE(YEAR(Config!$B$3)+IF($A49&gt;=36,0,1),1,4)-WEEKDAY(DATE(YEAR(Config!$B$3)+IF($A49&gt;=36,0,1),1,4))+1+7*($A49-1)+1,"m/d/yy")&amp;" – "&amp;TEXT(DATE(YEAR(Config!$B$3)+IF($A49&gt;=36,0,1),1,4)-WEEKDAY(DATE(YEAR(Config!$B$3)+IF($A49&gt;=36,0,1),1,4))+1+7*($A49-1)+7,"m/d/yy"))</f>
        <v>7/5/27 – 7/11/27</v>
      </c>
    </row>
    <row r="50" customFormat="false" ht="15" hidden="false" customHeight="false" outlineLevel="0" collapsed="false">
      <c r="A50" s="5" t="n">
        <v>28</v>
      </c>
      <c r="B50" s="5" t="n">
        <f aca="false">IF(COUNTIFS(Weekly_Local!$U:$U,"2022-23",Weekly_Local!$T:$T,$A50,Weekly_Local!$B:$B,"&lt;&gt;")=0,"",SUMIFS(Weekly_Local!$B:$B,Weekly_Local!$U:$U,"2022-23",Weekly_Local!$T:$T,$A50))</f>
        <v>0</v>
      </c>
      <c r="C50" s="5" t="n">
        <f aca="false">IF(COUNTIFS(Weekly_Local!$U:$U,"2023-24",Weekly_Local!$T:$T,$A50,Weekly_Local!$B:$B,"&lt;&gt;")=0,"",SUMIFS(Weekly_Local!$B:$B,Weekly_Local!$U:$U,"2023-24",Weekly_Local!$T:$T,$A50))</f>
        <v>1</v>
      </c>
      <c r="D50" s="5" t="n">
        <f aca="false">IF(COUNTIFS(Weekly_Local!$U:$U,"2024-25",Weekly_Local!$T:$T,$A50,Weekly_Local!$B:$B,"&lt;&gt;")=0,"",SUMIFS(Weekly_Local!$B:$B,Weekly_Local!$U:$U,"2024-25",Weekly_Local!$T:$T,$A50))</f>
        <v>2</v>
      </c>
      <c r="E50" s="5" t="n">
        <f aca="false">IF(COUNTIFS(Weekly_Local!$U:$U,"2025-26",Weekly_Local!$T:$T,$A50,Weekly_Local!$B:$B,"&lt;&gt;")=0,"",SUMIFS(Weekly_Local!$B:$B,Weekly_Local!$U:$U,"2025-26",Weekly_Local!$T:$T,$A50))</f>
        <v>0</v>
      </c>
      <c r="F50" s="5" t="str">
        <f aca="false">IF(COUNTIFS(Weekly_Local!$U:$U,"2026-27",Weekly_Local!$T:$T,$A50,Weekly_Local!$B:$B,"&lt;&gt;")=0,"",SUMIFS(Weekly_Local!$B:$B,Weekly_Local!$U:$U,"2026-27",Weekly_Local!$T:$T,$A50))</f>
        <v/>
      </c>
      <c r="G50" s="5" t="str">
        <f aca="false">IF(AND($A50=53,DATE(YEAR(Config!$B$3),1,4)-WEEKDAY(DATE(YEAR(Config!$B$3),1,4))+1+364&gt;=DATE(YEAR(Config!$B$3)+1,1,4)-WEEKDAY(DATE(YEAR(Config!$B$3)+1,1,4))+1),"",TEXT(DATE(YEAR(Config!$B$3)+IF($A50&gt;=36,0,1),1,4)-WEEKDAY(DATE(YEAR(Config!$B$3)+IF($A50&gt;=36,0,1),1,4))+1+7*($A50-1)+1,"m/d/yy")&amp;" – "&amp;TEXT(DATE(YEAR(Config!$B$3)+IF($A50&gt;=36,0,1),1,4)-WEEKDAY(DATE(YEAR(Config!$B$3)+IF($A50&gt;=36,0,1),1,4))+1+7*($A50-1)+7,"m/d/yy"))</f>
        <v>7/12/27 – 7/18/27</v>
      </c>
    </row>
    <row r="51" customFormat="false" ht="15" hidden="false" customHeight="false" outlineLevel="0" collapsed="false">
      <c r="A51" s="5" t="n">
        <v>29</v>
      </c>
      <c r="B51" s="5" t="n">
        <f aca="false">IF(COUNTIFS(Weekly_Local!$U:$U,"2022-23",Weekly_Local!$T:$T,$A51,Weekly_Local!$B:$B,"&lt;&gt;")=0,"",SUMIFS(Weekly_Local!$B:$B,Weekly_Local!$U:$U,"2022-23",Weekly_Local!$T:$T,$A51))</f>
        <v>4</v>
      </c>
      <c r="C51" s="5" t="n">
        <f aca="false">IF(COUNTIFS(Weekly_Local!$U:$U,"2023-24",Weekly_Local!$T:$T,$A51,Weekly_Local!$B:$B,"&lt;&gt;")=0,"",SUMIFS(Weekly_Local!$B:$B,Weekly_Local!$U:$U,"2023-24",Weekly_Local!$T:$T,$A51))</f>
        <v>6</v>
      </c>
      <c r="D51" s="5" t="n">
        <f aca="false">IF(COUNTIFS(Weekly_Local!$U:$U,"2024-25",Weekly_Local!$T:$T,$A51,Weekly_Local!$B:$B,"&lt;&gt;")=0,"",SUMIFS(Weekly_Local!$B:$B,Weekly_Local!$U:$U,"2024-25",Weekly_Local!$T:$T,$A51))</f>
        <v>3</v>
      </c>
      <c r="E51" s="5" t="n">
        <f aca="false">IF(COUNTIFS(Weekly_Local!$U:$U,"2025-26",Weekly_Local!$T:$T,$A51,Weekly_Local!$B:$B,"&lt;&gt;")=0,"",SUMIFS(Weekly_Local!$B:$B,Weekly_Local!$U:$U,"2025-26",Weekly_Local!$T:$T,$A51))</f>
        <v>1</v>
      </c>
      <c r="F51" s="5" t="str">
        <f aca="false">IF(COUNTIFS(Weekly_Local!$U:$U,"2026-27",Weekly_Local!$T:$T,$A51,Weekly_Local!$B:$B,"&lt;&gt;")=0,"",SUMIFS(Weekly_Local!$B:$B,Weekly_Local!$U:$U,"2026-27",Weekly_Local!$T:$T,$A51))</f>
        <v/>
      </c>
      <c r="G51" s="5" t="str">
        <f aca="false">IF(AND($A51=53,DATE(YEAR(Config!$B$3),1,4)-WEEKDAY(DATE(YEAR(Config!$B$3),1,4))+1+364&gt;=DATE(YEAR(Config!$B$3)+1,1,4)-WEEKDAY(DATE(YEAR(Config!$B$3)+1,1,4))+1),"",TEXT(DATE(YEAR(Config!$B$3)+IF($A51&gt;=36,0,1),1,4)-WEEKDAY(DATE(YEAR(Config!$B$3)+IF($A51&gt;=36,0,1),1,4))+1+7*($A51-1)+1,"m/d/yy")&amp;" – "&amp;TEXT(DATE(YEAR(Config!$B$3)+IF($A51&gt;=36,0,1),1,4)-WEEKDAY(DATE(YEAR(Config!$B$3)+IF($A51&gt;=36,0,1),1,4))+1+7*($A51-1)+7,"m/d/yy"))</f>
        <v>7/19/27 – 7/25/27</v>
      </c>
    </row>
    <row r="52" customFormat="false" ht="15" hidden="false" customHeight="false" outlineLevel="0" collapsed="false">
      <c r="A52" s="5" t="n">
        <v>30</v>
      </c>
      <c r="B52" s="5" t="n">
        <f aca="false">IF(COUNTIFS(Weekly_Local!$U:$U,"2022-23",Weekly_Local!$T:$T,$A52,Weekly_Local!$B:$B,"&lt;&gt;")=0,"",SUMIFS(Weekly_Local!$B:$B,Weekly_Local!$U:$U,"2022-23",Weekly_Local!$T:$T,$A52))</f>
        <v>3</v>
      </c>
      <c r="C52" s="5" t="n">
        <f aca="false">IF(COUNTIFS(Weekly_Local!$U:$U,"2023-24",Weekly_Local!$T:$T,$A52,Weekly_Local!$B:$B,"&lt;&gt;")=0,"",SUMIFS(Weekly_Local!$B:$B,Weekly_Local!$U:$U,"2023-24",Weekly_Local!$T:$T,$A52))</f>
        <v>4</v>
      </c>
      <c r="D52" s="5" t="n">
        <f aca="false">IF(COUNTIFS(Weekly_Local!$U:$U,"2024-25",Weekly_Local!$T:$T,$A52,Weekly_Local!$B:$B,"&lt;&gt;")=0,"",SUMIFS(Weekly_Local!$B:$B,Weekly_Local!$U:$U,"2024-25",Weekly_Local!$T:$T,$A52))</f>
        <v>2</v>
      </c>
      <c r="E52" s="5" t="n">
        <f aca="false">IF(COUNTIFS(Weekly_Local!$U:$U,"2025-26",Weekly_Local!$T:$T,$A52,Weekly_Local!$B:$B,"&lt;&gt;")=0,"",SUMIFS(Weekly_Local!$B:$B,Weekly_Local!$U:$U,"2025-26",Weekly_Local!$T:$T,$A52))</f>
        <v>1</v>
      </c>
      <c r="F52" s="5" t="str">
        <f aca="false">IF(COUNTIFS(Weekly_Local!$U:$U,"2026-27",Weekly_Local!$T:$T,$A52,Weekly_Local!$B:$B,"&lt;&gt;")=0,"",SUMIFS(Weekly_Local!$B:$B,Weekly_Local!$U:$U,"2026-27",Weekly_Local!$T:$T,$A52))</f>
        <v/>
      </c>
      <c r="G52" s="5" t="str">
        <f aca="false">IF(AND($A52=53,DATE(YEAR(Config!$B$3),1,4)-WEEKDAY(DATE(YEAR(Config!$B$3),1,4))+1+364&gt;=DATE(YEAR(Config!$B$3)+1,1,4)-WEEKDAY(DATE(YEAR(Config!$B$3)+1,1,4))+1),"",TEXT(DATE(YEAR(Config!$B$3)+IF($A52&gt;=36,0,1),1,4)-WEEKDAY(DATE(YEAR(Config!$B$3)+IF($A52&gt;=36,0,1),1,4))+1+7*($A52-1)+1,"m/d/yy")&amp;" – "&amp;TEXT(DATE(YEAR(Config!$B$3)+IF($A52&gt;=36,0,1),1,4)-WEEKDAY(DATE(YEAR(Config!$B$3)+IF($A52&gt;=36,0,1),1,4))+1+7*($A52-1)+7,"m/d/yy"))</f>
        <v>7/26/27 – 8/1/27</v>
      </c>
    </row>
    <row r="53" customFormat="false" ht="15" hidden="false" customHeight="false" outlineLevel="0" collapsed="false">
      <c r="A53" s="5" t="n">
        <v>31</v>
      </c>
      <c r="B53" s="5" t="n">
        <f aca="false">IF(COUNTIFS(Weekly_Local!$U:$U,"2022-23",Weekly_Local!$T:$T,$A53,Weekly_Local!$B:$B,"&lt;&gt;")=0,"",SUMIFS(Weekly_Local!$B:$B,Weekly_Local!$U:$U,"2022-23",Weekly_Local!$T:$T,$A53))</f>
        <v>1</v>
      </c>
      <c r="C53" s="5" t="n">
        <f aca="false">IF(COUNTIFS(Weekly_Local!$U:$U,"2023-24",Weekly_Local!$T:$T,$A53,Weekly_Local!$B:$B,"&lt;&gt;")=0,"",SUMIFS(Weekly_Local!$B:$B,Weekly_Local!$U:$U,"2023-24",Weekly_Local!$T:$T,$A53))</f>
        <v>2</v>
      </c>
      <c r="D53" s="5" t="n">
        <f aca="false">IF(COUNTIFS(Weekly_Local!$U:$U,"2024-25",Weekly_Local!$T:$T,$A53,Weekly_Local!$B:$B,"&lt;&gt;")=0,"",SUMIFS(Weekly_Local!$B:$B,Weekly_Local!$U:$U,"2024-25",Weekly_Local!$T:$T,$A53))</f>
        <v>1</v>
      </c>
      <c r="E53" s="5" t="n">
        <f aca="false">IF(COUNTIFS(Weekly_Local!$U:$U,"2025-26",Weekly_Local!$T:$T,$A53,Weekly_Local!$B:$B,"&lt;&gt;")=0,"",SUMIFS(Weekly_Local!$B:$B,Weekly_Local!$U:$U,"2025-26",Weekly_Local!$T:$T,$A53))</f>
        <v>0</v>
      </c>
      <c r="F53" s="5" t="str">
        <f aca="false">IF(COUNTIFS(Weekly_Local!$U:$U,"2026-27",Weekly_Local!$T:$T,$A53,Weekly_Local!$B:$B,"&lt;&gt;")=0,"",SUMIFS(Weekly_Local!$B:$B,Weekly_Local!$U:$U,"2026-27",Weekly_Local!$T:$T,$A53))</f>
        <v/>
      </c>
      <c r="G53" s="5" t="str">
        <f aca="false">IF(AND($A53=53,DATE(YEAR(Config!$B$3),1,4)-WEEKDAY(DATE(YEAR(Config!$B$3),1,4))+1+364&gt;=DATE(YEAR(Config!$B$3)+1,1,4)-WEEKDAY(DATE(YEAR(Config!$B$3)+1,1,4))+1),"",TEXT(DATE(YEAR(Config!$B$3)+IF($A53&gt;=36,0,1),1,4)-WEEKDAY(DATE(YEAR(Config!$B$3)+IF($A53&gt;=36,0,1),1,4))+1+7*($A53-1)+1,"m/d/yy")&amp;" – "&amp;TEXT(DATE(YEAR(Config!$B$3)+IF($A53&gt;=36,0,1),1,4)-WEEKDAY(DATE(YEAR(Config!$B$3)+IF($A53&gt;=36,0,1),1,4))+1+7*($A53-1)+7,"m/d/yy"))</f>
        <v>8/2/27 – 8/8/27</v>
      </c>
    </row>
    <row r="54" customFormat="false" ht="15" hidden="false" customHeight="false" outlineLevel="0" collapsed="false">
      <c r="A54" s="5" t="n">
        <v>32</v>
      </c>
      <c r="B54" s="5" t="n">
        <f aca="false">IF(COUNTIFS(Weekly_Local!$U:$U,"2022-23",Weekly_Local!$T:$T,$A54,Weekly_Local!$B:$B,"&lt;&gt;")=0,"",SUMIFS(Weekly_Local!$B:$B,Weekly_Local!$U:$U,"2022-23",Weekly_Local!$T:$T,$A54))</f>
        <v>5</v>
      </c>
      <c r="C54" s="5" t="n">
        <f aca="false">IF(COUNTIFS(Weekly_Local!$U:$U,"2023-24",Weekly_Local!$T:$T,$A54,Weekly_Local!$B:$B,"&lt;&gt;")=0,"",SUMIFS(Weekly_Local!$B:$B,Weekly_Local!$U:$U,"2023-24",Weekly_Local!$T:$T,$A54))</f>
        <v>10</v>
      </c>
      <c r="D54" s="5" t="n">
        <f aca="false">IF(COUNTIFS(Weekly_Local!$U:$U,"2024-25",Weekly_Local!$T:$T,$A54,Weekly_Local!$B:$B,"&lt;&gt;")=0,"",SUMIFS(Weekly_Local!$B:$B,Weekly_Local!$U:$U,"2024-25",Weekly_Local!$T:$T,$A54))</f>
        <v>1</v>
      </c>
      <c r="E54" s="5" t="n">
        <f aca="false">IF(COUNTIFS(Weekly_Local!$U:$U,"2025-26",Weekly_Local!$T:$T,$A54,Weekly_Local!$B:$B,"&lt;&gt;")=0,"",SUMIFS(Weekly_Local!$B:$B,Weekly_Local!$U:$U,"2025-26",Weekly_Local!$T:$T,$A54))</f>
        <v>0</v>
      </c>
      <c r="F54" s="5" t="str">
        <f aca="false">IF(COUNTIFS(Weekly_Local!$U:$U,"2026-27",Weekly_Local!$T:$T,$A54,Weekly_Local!$B:$B,"&lt;&gt;")=0,"",SUMIFS(Weekly_Local!$B:$B,Weekly_Local!$U:$U,"2026-27",Weekly_Local!$T:$T,$A54))</f>
        <v/>
      </c>
      <c r="G54" s="5" t="str">
        <f aca="false">IF(AND($A54=53,DATE(YEAR(Config!$B$3),1,4)-WEEKDAY(DATE(YEAR(Config!$B$3),1,4))+1+364&gt;=DATE(YEAR(Config!$B$3)+1,1,4)-WEEKDAY(DATE(YEAR(Config!$B$3)+1,1,4))+1),"",TEXT(DATE(YEAR(Config!$B$3)+IF($A54&gt;=36,0,1),1,4)-WEEKDAY(DATE(YEAR(Config!$B$3)+IF($A54&gt;=36,0,1),1,4))+1+7*($A54-1)+1,"m/d/yy")&amp;" – "&amp;TEXT(DATE(YEAR(Config!$B$3)+IF($A54&gt;=36,0,1),1,4)-WEEKDAY(DATE(YEAR(Config!$B$3)+IF($A54&gt;=36,0,1),1,4))+1+7*($A54-1)+7,"m/d/yy"))</f>
        <v>8/9/27 – 8/15/27</v>
      </c>
    </row>
    <row r="55" customFormat="false" ht="15" hidden="false" customHeight="false" outlineLevel="0" collapsed="false">
      <c r="A55" s="5" t="n">
        <v>33</v>
      </c>
      <c r="B55" s="5" t="n">
        <f aca="false">IF(COUNTIFS(Weekly_Local!$U:$U,"2022-23",Weekly_Local!$T:$T,$A55,Weekly_Local!$B:$B,"&lt;&gt;")=0,"",SUMIFS(Weekly_Local!$B:$B,Weekly_Local!$U:$U,"2022-23",Weekly_Local!$T:$T,$A55))</f>
        <v>9</v>
      </c>
      <c r="C55" s="5" t="n">
        <f aca="false">IF(COUNTIFS(Weekly_Local!$U:$U,"2023-24",Weekly_Local!$T:$T,$A55,Weekly_Local!$B:$B,"&lt;&gt;")=0,"",SUMIFS(Weekly_Local!$B:$B,Weekly_Local!$U:$U,"2023-24",Weekly_Local!$T:$T,$A55))</f>
        <v>8</v>
      </c>
      <c r="D55" s="5" t="n">
        <f aca="false">IF(COUNTIFS(Weekly_Local!$U:$U,"2024-25",Weekly_Local!$T:$T,$A55,Weekly_Local!$B:$B,"&lt;&gt;")=0,"",SUMIFS(Weekly_Local!$B:$B,Weekly_Local!$U:$U,"2024-25",Weekly_Local!$T:$T,$A55))</f>
        <v>4</v>
      </c>
      <c r="E55" s="5" t="n">
        <f aca="false">IF(COUNTIFS(Weekly_Local!$U:$U,"2025-26",Weekly_Local!$T:$T,$A55,Weekly_Local!$B:$B,"&lt;&gt;")=0,"",SUMIFS(Weekly_Local!$B:$B,Weekly_Local!$U:$U,"2025-26",Weekly_Local!$T:$T,$A55))</f>
        <v>0</v>
      </c>
      <c r="F55" s="5" t="str">
        <f aca="false">IF(COUNTIFS(Weekly_Local!$U:$U,"2026-27",Weekly_Local!$T:$T,$A55,Weekly_Local!$B:$B,"&lt;&gt;")=0,"",SUMIFS(Weekly_Local!$B:$B,Weekly_Local!$U:$U,"2026-27",Weekly_Local!$T:$T,$A55))</f>
        <v/>
      </c>
      <c r="G55" s="5" t="str">
        <f aca="false">IF(AND($A55=53,DATE(YEAR(Config!$B$3),1,4)-WEEKDAY(DATE(YEAR(Config!$B$3),1,4))+1+364&gt;=DATE(YEAR(Config!$B$3)+1,1,4)-WEEKDAY(DATE(YEAR(Config!$B$3)+1,1,4))+1),"",TEXT(DATE(YEAR(Config!$B$3)+IF($A55&gt;=36,0,1),1,4)-WEEKDAY(DATE(YEAR(Config!$B$3)+IF($A55&gt;=36,0,1),1,4))+1+7*($A55-1)+1,"m/d/yy")&amp;" – "&amp;TEXT(DATE(YEAR(Config!$B$3)+IF($A55&gt;=36,0,1),1,4)-WEEKDAY(DATE(YEAR(Config!$B$3)+IF($A55&gt;=36,0,1),1,4))+1+7*($A55-1)+7,"m/d/yy"))</f>
        <v>8/16/27 – 8/22/27</v>
      </c>
    </row>
    <row r="56" customFormat="false" ht="15" hidden="false" customHeight="false" outlineLevel="0" collapsed="false">
      <c r="A56" s="5" t="n">
        <v>34</v>
      </c>
      <c r="B56" s="5" t="n">
        <f aca="false">IF(COUNTIFS(Weekly_Local!$U:$U,"2022-23",Weekly_Local!$T:$T,$A56,Weekly_Local!$B:$B,"&lt;&gt;")=0,"",SUMIFS(Weekly_Local!$B:$B,Weekly_Local!$U:$U,"2022-23",Weekly_Local!$T:$T,$A56))</f>
        <v>8</v>
      </c>
      <c r="C56" s="5" t="n">
        <f aca="false">IF(COUNTIFS(Weekly_Local!$U:$U,"2023-24",Weekly_Local!$T:$T,$A56,Weekly_Local!$B:$B,"&lt;&gt;")=0,"",SUMIFS(Weekly_Local!$B:$B,Weekly_Local!$U:$U,"2023-24",Weekly_Local!$T:$T,$A56))</f>
        <v>1</v>
      </c>
      <c r="D56" s="5" t="n">
        <f aca="false">IF(COUNTIFS(Weekly_Local!$U:$U,"2024-25",Weekly_Local!$T:$T,$A56,Weekly_Local!$B:$B,"&lt;&gt;")=0,"",SUMIFS(Weekly_Local!$B:$B,Weekly_Local!$U:$U,"2024-25",Weekly_Local!$T:$T,$A56))</f>
        <v>1</v>
      </c>
      <c r="E56" s="5" t="n">
        <f aca="false">IF(COUNTIFS(Weekly_Local!$U:$U,"2025-26",Weekly_Local!$T:$T,$A56,Weekly_Local!$B:$B,"&lt;&gt;")=0,"",SUMIFS(Weekly_Local!$B:$B,Weekly_Local!$U:$U,"2025-26",Weekly_Local!$T:$T,$A56))</f>
        <v>0</v>
      </c>
      <c r="F56" s="5" t="str">
        <f aca="false">IF(COUNTIFS(Weekly_Local!$U:$U,"2026-27",Weekly_Local!$T:$T,$A56,Weekly_Local!$B:$B,"&lt;&gt;")=0,"",SUMIFS(Weekly_Local!$B:$B,Weekly_Local!$U:$U,"2026-27",Weekly_Local!$T:$T,$A56))</f>
        <v/>
      </c>
      <c r="G56" s="5" t="str">
        <f aca="false">IF(AND($A56=53,DATE(YEAR(Config!$B$3),1,4)-WEEKDAY(DATE(YEAR(Config!$B$3),1,4))+1+364&gt;=DATE(YEAR(Config!$B$3)+1,1,4)-WEEKDAY(DATE(YEAR(Config!$B$3)+1,1,4))+1),"",TEXT(DATE(YEAR(Config!$B$3)+IF($A56&gt;=36,0,1),1,4)-WEEKDAY(DATE(YEAR(Config!$B$3)+IF($A56&gt;=36,0,1),1,4))+1+7*($A56-1)+1,"m/d/yy")&amp;" – "&amp;TEXT(DATE(YEAR(Config!$B$3)+IF($A56&gt;=36,0,1),1,4)-WEEKDAY(DATE(YEAR(Config!$B$3)+IF($A56&gt;=36,0,1),1,4))+1+7*($A56-1)+7,"m/d/yy"))</f>
        <v>8/23/27 – 8/29/27</v>
      </c>
    </row>
    <row r="57" customFormat="false" ht="15" hidden="false" customHeight="false" outlineLevel="0" collapsed="false">
      <c r="A57" s="5" t="n">
        <v>35</v>
      </c>
      <c r="B57" s="5" t="n">
        <f aca="false">IF(COUNTIFS(Weekly_Local!$U:$U,"2022-23",Weekly_Local!$T:$T,$A57,Weekly_Local!$B:$B,"&lt;&gt;")=0,"",SUMIFS(Weekly_Local!$B:$B,Weekly_Local!$U:$U,"2022-23",Weekly_Local!$T:$T,$A57))</f>
        <v>18</v>
      </c>
      <c r="C57" s="5" t="n">
        <f aca="false">IF(COUNTIFS(Weekly_Local!$U:$U,"2023-24",Weekly_Local!$T:$T,$A57,Weekly_Local!$B:$B,"&lt;&gt;")=0,"",SUMIFS(Weekly_Local!$B:$B,Weekly_Local!$U:$U,"2023-24",Weekly_Local!$T:$T,$A57))</f>
        <v>5</v>
      </c>
      <c r="D57" s="5" t="n">
        <f aca="false">IF(COUNTIFS(Weekly_Local!$U:$U,"2024-25",Weekly_Local!$T:$T,$A57,Weekly_Local!$B:$B,"&lt;&gt;")=0,"",SUMIFS(Weekly_Local!$B:$B,Weekly_Local!$U:$U,"2024-25",Weekly_Local!$T:$T,$A57))</f>
        <v>6</v>
      </c>
      <c r="E57" s="5" t="n">
        <f aca="false">IF(COUNTIFS(Weekly_Local!$U:$U,"2025-26",Weekly_Local!$T:$T,$A57,Weekly_Local!$B:$B,"&lt;&gt;")=0,"",SUMIFS(Weekly_Local!$B:$B,Weekly_Local!$U:$U,"2025-26",Weekly_Local!$T:$T,$A57))</f>
        <v>0</v>
      </c>
      <c r="F57" s="5" t="str">
        <f aca="false">IF(COUNTIFS(Weekly_Local!$U:$U,"2026-27",Weekly_Local!$T:$T,$A57,Weekly_Local!$B:$B,"&lt;&gt;")=0,"",SUMIFS(Weekly_Local!$B:$B,Weekly_Local!$U:$U,"2026-27",Weekly_Local!$T:$T,$A57))</f>
        <v/>
      </c>
      <c r="G57" s="5" t="str">
        <f aca="false">IF(AND($A57=53,DATE(YEAR(Config!$B$3),1,4)-WEEKDAY(DATE(YEAR(Config!$B$3),1,4))+1+364&gt;=DATE(YEAR(Config!$B$3)+1,1,4)-WEEKDAY(DATE(YEAR(Config!$B$3)+1,1,4))+1),"",TEXT(DATE(YEAR(Config!$B$3)+IF($A57&gt;=36,0,1),1,4)-WEEKDAY(DATE(YEAR(Config!$B$3)+IF($A57&gt;=36,0,1),1,4))+1+7*($A57-1)+1,"m/d/yy")&amp;" – "&amp;TEXT(DATE(YEAR(Config!$B$3)+IF($A57&gt;=36,0,1),1,4)-WEEKDAY(DATE(YEAR(Config!$B$3)+IF($A57&gt;=36,0,1),1,4))+1+7*($A57-1)+7,"m/d/yy"))</f>
        <v>8/30/27 – 9/5/27</v>
      </c>
    </row>
    <row r="60" customFormat="false" ht="15" hidden="false" customHeight="false" outlineLevel="0" collapsed="false">
      <c r="A60" s="13" t="s">
        <v>79</v>
      </c>
    </row>
    <row r="61" customFormat="false" ht="31.5" hidden="false" customHeight="true" outlineLevel="0" collapsed="false">
      <c r="A61" s="4" t="s">
        <v>57</v>
      </c>
      <c r="B61" s="4" t="s">
        <v>74</v>
      </c>
      <c r="C61" s="4" t="s">
        <v>75</v>
      </c>
      <c r="D61" s="4" t="s">
        <v>76</v>
      </c>
      <c r="E61" s="4" t="s">
        <v>77</v>
      </c>
      <c r="F61" s="4" t="s">
        <v>23</v>
      </c>
      <c r="G61" s="4" t="s">
        <v>78</v>
      </c>
    </row>
    <row r="62" customFormat="false" ht="15" hidden="false" customHeight="false" outlineLevel="0" collapsed="false">
      <c r="A62" s="5" t="n">
        <v>36</v>
      </c>
      <c r="B62" s="5" t="str">
        <f aca="false">IF(COUNTIFS(Weekly_Local!$U:$U,"2022-23",Weekly_Local!$T:$T,$A62,Weekly_Local!$C:$C,"&lt;&gt;")=0,"",SUMIFS(Weekly_Local!$C:$C,Weekly_Local!$U:$U,"2022-23",Weekly_Local!$T:$T,$A62))</f>
        <v/>
      </c>
      <c r="C62" s="5" t="n">
        <f aca="false">IF(COUNTIFS(Weekly_Local!$U:$U,"2023-24",Weekly_Local!$T:$T,$A62,Weekly_Local!$C:$C,"&lt;&gt;")=0,"",SUMIFS(Weekly_Local!$C:$C,Weekly_Local!$U:$U,"2023-24",Weekly_Local!$T:$T,$A62))</f>
        <v>0</v>
      </c>
      <c r="D62" s="5" t="n">
        <f aca="false">IF(COUNTIFS(Weekly_Local!$U:$U,"2024-25",Weekly_Local!$T:$T,$A62,Weekly_Local!$C:$C,"&lt;&gt;")=0,"",SUMIFS(Weekly_Local!$C:$C,Weekly_Local!$U:$U,"2024-25",Weekly_Local!$T:$T,$A62))</f>
        <v>0</v>
      </c>
      <c r="E62" s="5" t="n">
        <f aca="false">IF(COUNTIFS(Weekly_Local!$U:$U,"2025-26",Weekly_Local!$T:$T,$A62,Weekly_Local!$C:$C,"&lt;&gt;")=0,"",SUMIFS(Weekly_Local!$C:$C,Weekly_Local!$U:$U,"2025-26",Weekly_Local!$T:$T,$A62))</f>
        <v>0</v>
      </c>
      <c r="F62" s="5" t="n">
        <v>0</v>
      </c>
      <c r="G62" s="5" t="str">
        <f aca="false">IF(AND($A62=53,DATE(YEAR(Config!$B$3),1,4)-WEEKDAY(DATE(YEAR(Config!$B$3),1,4))+1+364&gt;=DATE(YEAR(Config!$B$3)+1,1,4)-WEEKDAY(DATE(YEAR(Config!$B$3)+1,1,4))+1),"",TEXT(DATE(YEAR(Config!$B$3)+IF($A62&gt;=36,0,1),1,4)-WEEKDAY(DATE(YEAR(Config!$B$3)+IF($A62&gt;=36,0,1),1,4))+1+7*($A62-1)+1,"m/d/yy")&amp;" – "&amp;TEXT(DATE(YEAR(Config!$B$3)+IF($A62&gt;=36,0,1),1,4)-WEEKDAY(DATE(YEAR(Config!$B$3)+IF($A62&gt;=36,0,1),1,4))+1+7*($A62-1)+7,"m/d/yy"))</f>
        <v>9/7/26 – 9/13/26</v>
      </c>
    </row>
    <row r="63" customFormat="false" ht="15" hidden="false" customHeight="false" outlineLevel="0" collapsed="false">
      <c r="A63" s="5" t="n">
        <v>37</v>
      </c>
      <c r="B63" s="5" t="str">
        <f aca="false">IF(COUNTIFS(Weekly_Local!$U:$U,"2022-23",Weekly_Local!$T:$T,$A63,Weekly_Local!$C:$C,"&lt;&gt;")=0,"",SUMIFS(Weekly_Local!$C:$C,Weekly_Local!$U:$U,"2022-23",Weekly_Local!$T:$T,$A63))</f>
        <v/>
      </c>
      <c r="C63" s="5" t="n">
        <f aca="false">IF(COUNTIFS(Weekly_Local!$U:$U,"2023-24",Weekly_Local!$T:$T,$A63,Weekly_Local!$C:$C,"&lt;&gt;")=0,"",SUMIFS(Weekly_Local!$C:$C,Weekly_Local!$U:$U,"2023-24",Weekly_Local!$T:$T,$A63))</f>
        <v>0</v>
      </c>
      <c r="D63" s="5" t="n">
        <f aca="false">IF(COUNTIFS(Weekly_Local!$U:$U,"2024-25",Weekly_Local!$T:$T,$A63,Weekly_Local!$C:$C,"&lt;&gt;")=0,"",SUMIFS(Weekly_Local!$C:$C,Weekly_Local!$U:$U,"2024-25",Weekly_Local!$T:$T,$A63))</f>
        <v>1</v>
      </c>
      <c r="E63" s="5" t="n">
        <f aca="false">IF(COUNTIFS(Weekly_Local!$U:$U,"2025-26",Weekly_Local!$T:$T,$A63,Weekly_Local!$C:$C,"&lt;&gt;")=0,"",SUMIFS(Weekly_Local!$C:$C,Weekly_Local!$U:$U,"2025-26",Weekly_Local!$T:$T,$A63))</f>
        <v>0</v>
      </c>
      <c r="F63" s="5" t="n">
        <f aca="false">IF(COUNTIFS(Weekly_Local!$U:$U,"2026-27",Weekly_Local!$T:$T,$A63,Weekly_Local!$C:$C,"&lt;&gt;")=0,"",SUMIFS(Weekly_Local!$C:$C,Weekly_Local!$U:$U,"2026-27",Weekly_Local!$T:$T,$A63))</f>
        <v>1</v>
      </c>
      <c r="G63" s="5" t="str">
        <f aca="false">IF(AND($A63=53,DATE(YEAR(Config!$B$3),1,4)-WEEKDAY(DATE(YEAR(Config!$B$3),1,4))+1+364&gt;=DATE(YEAR(Config!$B$3)+1,1,4)-WEEKDAY(DATE(YEAR(Config!$B$3)+1,1,4))+1),"",TEXT(DATE(YEAR(Config!$B$3)+IF($A63&gt;=36,0,1),1,4)-WEEKDAY(DATE(YEAR(Config!$B$3)+IF($A63&gt;=36,0,1),1,4))+1+7*($A63-1)+1,"m/d/yy")&amp;" – "&amp;TEXT(DATE(YEAR(Config!$B$3)+IF($A63&gt;=36,0,1),1,4)-WEEKDAY(DATE(YEAR(Config!$B$3)+IF($A63&gt;=36,0,1),1,4))+1+7*($A63-1)+7,"m/d/yy"))</f>
        <v>9/14/26 – 9/20/26</v>
      </c>
    </row>
    <row r="64" customFormat="false" ht="15" hidden="false" customHeight="false" outlineLevel="0" collapsed="false">
      <c r="A64" s="5" t="n">
        <v>38</v>
      </c>
      <c r="B64" s="5" t="str">
        <f aca="false">IF(COUNTIFS(Weekly_Local!$U:$U,"2022-23",Weekly_Local!$T:$T,$A64,Weekly_Local!$C:$C,"&lt;&gt;")=0,"",SUMIFS(Weekly_Local!$C:$C,Weekly_Local!$U:$U,"2022-23",Weekly_Local!$T:$T,$A64))</f>
        <v/>
      </c>
      <c r="C64" s="5" t="n">
        <f aca="false">IF(COUNTIFS(Weekly_Local!$U:$U,"2023-24",Weekly_Local!$T:$T,$A64,Weekly_Local!$C:$C,"&lt;&gt;")=0,"",SUMIFS(Weekly_Local!$C:$C,Weekly_Local!$U:$U,"2023-24",Weekly_Local!$T:$T,$A64))</f>
        <v>2</v>
      </c>
      <c r="D64" s="5" t="n">
        <f aca="false">IF(COUNTIFS(Weekly_Local!$U:$U,"2024-25",Weekly_Local!$T:$T,$A64,Weekly_Local!$C:$C,"&lt;&gt;")=0,"",SUMIFS(Weekly_Local!$C:$C,Weekly_Local!$U:$U,"2024-25",Weekly_Local!$T:$T,$A64))</f>
        <v>1</v>
      </c>
      <c r="E64" s="5" t="n">
        <f aca="false">IF(COUNTIFS(Weekly_Local!$U:$U,"2025-26",Weekly_Local!$T:$T,$A64,Weekly_Local!$C:$C,"&lt;&gt;")=0,"",SUMIFS(Weekly_Local!$C:$C,Weekly_Local!$U:$U,"2025-26",Weekly_Local!$T:$T,$A64))</f>
        <v>0</v>
      </c>
      <c r="F64" s="5" t="n">
        <f aca="false">IF(COUNTIFS(Weekly_Local!$U:$U,"2026-27",Weekly_Local!$T:$T,$A64,Weekly_Local!$C:$C,"&lt;&gt;")=0,"",SUMIFS(Weekly_Local!$C:$C,Weekly_Local!$U:$U,"2026-27",Weekly_Local!$T:$T,$A64))</f>
        <v>0</v>
      </c>
      <c r="G64" s="5" t="str">
        <f aca="false">IF(AND($A64=53,DATE(YEAR(Config!$B$3),1,4)-WEEKDAY(DATE(YEAR(Config!$B$3),1,4))+1+364&gt;=DATE(YEAR(Config!$B$3)+1,1,4)-WEEKDAY(DATE(YEAR(Config!$B$3)+1,1,4))+1),"",TEXT(DATE(YEAR(Config!$B$3)+IF($A64&gt;=36,0,1),1,4)-WEEKDAY(DATE(YEAR(Config!$B$3)+IF($A64&gt;=36,0,1),1,4))+1+7*($A64-1)+1,"m/d/yy")&amp;" – "&amp;TEXT(DATE(YEAR(Config!$B$3)+IF($A64&gt;=36,0,1),1,4)-WEEKDAY(DATE(YEAR(Config!$B$3)+IF($A64&gt;=36,0,1),1,4))+1+7*($A64-1)+7,"m/d/yy"))</f>
        <v>9/21/26 – 9/27/26</v>
      </c>
    </row>
    <row r="65" customFormat="false" ht="15" hidden="false" customHeight="false" outlineLevel="0" collapsed="false">
      <c r="A65" s="5" t="n">
        <v>39</v>
      </c>
      <c r="B65" s="5" t="str">
        <f aca="false">IF(COUNTIFS(Weekly_Local!$U:$U,"2022-23",Weekly_Local!$T:$T,$A65,Weekly_Local!$C:$C,"&lt;&gt;")=0,"",SUMIFS(Weekly_Local!$C:$C,Weekly_Local!$U:$U,"2022-23",Weekly_Local!$T:$T,$A65))</f>
        <v/>
      </c>
      <c r="C65" s="5" t="n">
        <f aca="false">IF(COUNTIFS(Weekly_Local!$U:$U,"2023-24",Weekly_Local!$T:$T,$A65,Weekly_Local!$C:$C,"&lt;&gt;")=0,"",SUMIFS(Weekly_Local!$C:$C,Weekly_Local!$U:$U,"2023-24",Weekly_Local!$T:$T,$A65))</f>
        <v>0</v>
      </c>
      <c r="D65" s="5" t="n">
        <f aca="false">IF(COUNTIFS(Weekly_Local!$U:$U,"2024-25",Weekly_Local!$T:$T,$A65,Weekly_Local!$C:$C,"&lt;&gt;")=0,"",SUMIFS(Weekly_Local!$C:$C,Weekly_Local!$U:$U,"2024-25",Weekly_Local!$T:$T,$A65))</f>
        <v>0</v>
      </c>
      <c r="E65" s="5" t="n">
        <f aca="false">IF(COUNTIFS(Weekly_Local!$U:$U,"2025-26",Weekly_Local!$T:$T,$A65,Weekly_Local!$C:$C,"&lt;&gt;")=0,"",SUMIFS(Weekly_Local!$C:$C,Weekly_Local!$U:$U,"2025-26",Weekly_Local!$T:$T,$A65))</f>
        <v>0</v>
      </c>
      <c r="F65" s="5" t="n">
        <f aca="false">IF(COUNTIFS(Weekly_Local!$U:$U,"2026-27",Weekly_Local!$T:$T,$A65,Weekly_Local!$C:$C,"&lt;&gt;")=0,"",SUMIFS(Weekly_Local!$C:$C,Weekly_Local!$U:$U,"2026-27",Weekly_Local!$T:$T,$A65))</f>
        <v>0</v>
      </c>
      <c r="G65" s="5" t="str">
        <f aca="false">IF(AND($A65=53,DATE(YEAR(Config!$B$3),1,4)-WEEKDAY(DATE(YEAR(Config!$B$3),1,4))+1+364&gt;=DATE(YEAR(Config!$B$3)+1,1,4)-WEEKDAY(DATE(YEAR(Config!$B$3)+1,1,4))+1),"",TEXT(DATE(YEAR(Config!$B$3)+IF($A65&gt;=36,0,1),1,4)-WEEKDAY(DATE(YEAR(Config!$B$3)+IF($A65&gt;=36,0,1),1,4))+1+7*($A65-1)+1,"m/d/yy")&amp;" – "&amp;TEXT(DATE(YEAR(Config!$B$3)+IF($A65&gt;=36,0,1),1,4)-WEEKDAY(DATE(YEAR(Config!$B$3)+IF($A65&gt;=36,0,1),1,4))+1+7*($A65-1)+7,"m/d/yy"))</f>
        <v>9/28/26 – 10/4/26</v>
      </c>
    </row>
    <row r="66" customFormat="false" ht="15" hidden="false" customHeight="false" outlineLevel="0" collapsed="false">
      <c r="A66" s="5" t="n">
        <v>40</v>
      </c>
      <c r="B66" s="5" t="str">
        <f aca="false">IF(COUNTIFS(Weekly_Local!$U:$U,"2022-23",Weekly_Local!$T:$T,$A66,Weekly_Local!$C:$C,"&lt;&gt;")=0,"",SUMIFS(Weekly_Local!$C:$C,Weekly_Local!$U:$U,"2022-23",Weekly_Local!$T:$T,$A66))</f>
        <v/>
      </c>
      <c r="C66" s="5" t="n">
        <f aca="false">IF(COUNTIFS(Weekly_Local!$U:$U,"2023-24",Weekly_Local!$T:$T,$A66,Weekly_Local!$C:$C,"&lt;&gt;")=0,"",SUMIFS(Weekly_Local!$C:$C,Weekly_Local!$U:$U,"2023-24",Weekly_Local!$T:$T,$A66))</f>
        <v>0</v>
      </c>
      <c r="D66" s="5" t="n">
        <f aca="false">IF(COUNTIFS(Weekly_Local!$U:$U,"2024-25",Weekly_Local!$T:$T,$A66,Weekly_Local!$C:$C,"&lt;&gt;")=0,"",SUMIFS(Weekly_Local!$C:$C,Weekly_Local!$U:$U,"2024-25",Weekly_Local!$T:$T,$A66))</f>
        <v>0</v>
      </c>
      <c r="E66" s="5" t="n">
        <f aca="false">IF(COUNTIFS(Weekly_Local!$U:$U,"2025-26",Weekly_Local!$T:$T,$A66,Weekly_Local!$C:$C,"&lt;&gt;")=0,"",SUMIFS(Weekly_Local!$C:$C,Weekly_Local!$U:$U,"2025-26",Weekly_Local!$T:$T,$A66))</f>
        <v>0</v>
      </c>
      <c r="F66" s="5" t="n">
        <f aca="false">IF(COUNTIFS(Weekly_Local!$U:$U,"2026-27",Weekly_Local!$T:$T,$A66,Weekly_Local!$C:$C,"&lt;&gt;")=0,"",SUMIFS(Weekly_Local!$C:$C,Weekly_Local!$U:$U,"2026-27",Weekly_Local!$T:$T,$A66))</f>
        <v>0</v>
      </c>
      <c r="G66" s="5" t="str">
        <f aca="false">IF(AND($A66=53,DATE(YEAR(Config!$B$3),1,4)-WEEKDAY(DATE(YEAR(Config!$B$3),1,4))+1+364&gt;=DATE(YEAR(Config!$B$3)+1,1,4)-WEEKDAY(DATE(YEAR(Config!$B$3)+1,1,4))+1),"",TEXT(DATE(YEAR(Config!$B$3)+IF($A66&gt;=36,0,1),1,4)-WEEKDAY(DATE(YEAR(Config!$B$3)+IF($A66&gt;=36,0,1),1,4))+1+7*($A66-1)+1,"m/d/yy")&amp;" – "&amp;TEXT(DATE(YEAR(Config!$B$3)+IF($A66&gt;=36,0,1),1,4)-WEEKDAY(DATE(YEAR(Config!$B$3)+IF($A66&gt;=36,0,1),1,4))+1+7*($A66-1)+7,"m/d/yy"))</f>
        <v>10/5/26 – 10/11/26</v>
      </c>
    </row>
    <row r="67" customFormat="false" ht="15" hidden="false" customHeight="false" outlineLevel="0" collapsed="false">
      <c r="A67" s="5" t="n">
        <v>41</v>
      </c>
      <c r="B67" s="5" t="str">
        <f aca="false">IF(COUNTIFS(Weekly_Local!$U:$U,"2022-23",Weekly_Local!$T:$T,$A67,Weekly_Local!$C:$C,"&lt;&gt;")=0,"",SUMIFS(Weekly_Local!$C:$C,Weekly_Local!$U:$U,"2022-23",Weekly_Local!$T:$T,$A67))</f>
        <v/>
      </c>
      <c r="C67" s="5" t="n">
        <f aca="false">IF(COUNTIFS(Weekly_Local!$U:$U,"2023-24",Weekly_Local!$T:$T,$A67,Weekly_Local!$C:$C,"&lt;&gt;")=0,"",SUMIFS(Weekly_Local!$C:$C,Weekly_Local!$U:$U,"2023-24",Weekly_Local!$T:$T,$A67))</f>
        <v>0</v>
      </c>
      <c r="D67" s="5" t="n">
        <f aca="false">IF(COUNTIFS(Weekly_Local!$U:$U,"2024-25",Weekly_Local!$T:$T,$A67,Weekly_Local!$C:$C,"&lt;&gt;")=0,"",SUMIFS(Weekly_Local!$C:$C,Weekly_Local!$U:$U,"2024-25",Weekly_Local!$T:$T,$A67))</f>
        <v>0</v>
      </c>
      <c r="E67" s="5" t="n">
        <f aca="false">IF(COUNTIFS(Weekly_Local!$U:$U,"2025-26",Weekly_Local!$T:$T,$A67,Weekly_Local!$C:$C,"&lt;&gt;")=0,"",SUMIFS(Weekly_Local!$C:$C,Weekly_Local!$U:$U,"2025-26",Weekly_Local!$T:$T,$A67))</f>
        <v>0</v>
      </c>
      <c r="F67" s="5" t="str">
        <f aca="false">IF(COUNTIFS(Weekly_Local!$U:$U,"2026-27",Weekly_Local!$T:$T,$A67,Weekly_Local!$C:$C,"&lt;&gt;")=0,"",SUMIFS(Weekly_Local!$C:$C,Weekly_Local!$U:$U,"2026-27",Weekly_Local!$T:$T,$A67))</f>
        <v/>
      </c>
      <c r="G67" s="5" t="str">
        <f aca="false">IF(AND($A67=53,DATE(YEAR(Config!$B$3),1,4)-WEEKDAY(DATE(YEAR(Config!$B$3),1,4))+1+364&gt;=DATE(YEAR(Config!$B$3)+1,1,4)-WEEKDAY(DATE(YEAR(Config!$B$3)+1,1,4))+1),"",TEXT(DATE(YEAR(Config!$B$3)+IF($A67&gt;=36,0,1),1,4)-WEEKDAY(DATE(YEAR(Config!$B$3)+IF($A67&gt;=36,0,1),1,4))+1+7*($A67-1)+1,"m/d/yy")&amp;" – "&amp;TEXT(DATE(YEAR(Config!$B$3)+IF($A67&gt;=36,0,1),1,4)-WEEKDAY(DATE(YEAR(Config!$B$3)+IF($A67&gt;=36,0,1),1,4))+1+7*($A67-1)+7,"m/d/yy"))</f>
        <v>10/12/26 – 10/18/26</v>
      </c>
    </row>
    <row r="68" customFormat="false" ht="15" hidden="false" customHeight="false" outlineLevel="0" collapsed="false">
      <c r="A68" s="5" t="n">
        <v>42</v>
      </c>
      <c r="B68" s="5" t="str">
        <f aca="false">IF(COUNTIFS(Weekly_Local!$U:$U,"2022-23",Weekly_Local!$T:$T,$A68,Weekly_Local!$C:$C,"&lt;&gt;")=0,"",SUMIFS(Weekly_Local!$C:$C,Weekly_Local!$U:$U,"2022-23",Weekly_Local!$T:$T,$A68))</f>
        <v/>
      </c>
      <c r="C68" s="5" t="n">
        <f aca="false">IF(COUNTIFS(Weekly_Local!$U:$U,"2023-24",Weekly_Local!$T:$T,$A68,Weekly_Local!$C:$C,"&lt;&gt;")=0,"",SUMIFS(Weekly_Local!$C:$C,Weekly_Local!$U:$U,"2023-24",Weekly_Local!$T:$T,$A68))</f>
        <v>0</v>
      </c>
      <c r="D68" s="5" t="n">
        <f aca="false">IF(COUNTIFS(Weekly_Local!$U:$U,"2024-25",Weekly_Local!$T:$T,$A68,Weekly_Local!$C:$C,"&lt;&gt;")=0,"",SUMIFS(Weekly_Local!$C:$C,Weekly_Local!$U:$U,"2024-25",Weekly_Local!$T:$T,$A68))</f>
        <v>0</v>
      </c>
      <c r="E68" s="5" t="n">
        <f aca="false">IF(COUNTIFS(Weekly_Local!$U:$U,"2025-26",Weekly_Local!$T:$T,$A68,Weekly_Local!$C:$C,"&lt;&gt;")=0,"",SUMIFS(Weekly_Local!$C:$C,Weekly_Local!$U:$U,"2025-26",Weekly_Local!$T:$T,$A68))</f>
        <v>0</v>
      </c>
      <c r="F68" s="5" t="str">
        <f aca="false">IF(COUNTIFS(Weekly_Local!$U:$U,"2026-27",Weekly_Local!$T:$T,$A68,Weekly_Local!$C:$C,"&lt;&gt;")=0,"",SUMIFS(Weekly_Local!$C:$C,Weekly_Local!$U:$U,"2026-27",Weekly_Local!$T:$T,$A68))</f>
        <v/>
      </c>
      <c r="G68" s="5" t="str">
        <f aca="false">IF(AND($A68=53,DATE(YEAR(Config!$B$3),1,4)-WEEKDAY(DATE(YEAR(Config!$B$3),1,4))+1+364&gt;=DATE(YEAR(Config!$B$3)+1,1,4)-WEEKDAY(DATE(YEAR(Config!$B$3)+1,1,4))+1),"",TEXT(DATE(YEAR(Config!$B$3)+IF($A68&gt;=36,0,1),1,4)-WEEKDAY(DATE(YEAR(Config!$B$3)+IF($A68&gt;=36,0,1),1,4))+1+7*($A68-1)+1,"m/d/yy")&amp;" – "&amp;TEXT(DATE(YEAR(Config!$B$3)+IF($A68&gt;=36,0,1),1,4)-WEEKDAY(DATE(YEAR(Config!$B$3)+IF($A68&gt;=36,0,1),1,4))+1+7*($A68-1)+7,"m/d/yy"))</f>
        <v>10/19/26 – 10/25/26</v>
      </c>
    </row>
    <row r="69" customFormat="false" ht="15" hidden="false" customHeight="false" outlineLevel="0" collapsed="false">
      <c r="A69" s="5" t="n">
        <v>43</v>
      </c>
      <c r="B69" s="5" t="str">
        <f aca="false">IF(COUNTIFS(Weekly_Local!$U:$U,"2022-23",Weekly_Local!$T:$T,$A69,Weekly_Local!$C:$C,"&lt;&gt;")=0,"",SUMIFS(Weekly_Local!$C:$C,Weekly_Local!$U:$U,"2022-23",Weekly_Local!$T:$T,$A69))</f>
        <v/>
      </c>
      <c r="C69" s="5" t="n">
        <f aca="false">IF(COUNTIFS(Weekly_Local!$U:$U,"2023-24",Weekly_Local!$T:$T,$A69,Weekly_Local!$C:$C,"&lt;&gt;")=0,"",SUMIFS(Weekly_Local!$C:$C,Weekly_Local!$U:$U,"2023-24",Weekly_Local!$T:$T,$A69))</f>
        <v>0</v>
      </c>
      <c r="D69" s="5" t="n">
        <f aca="false">IF(COUNTIFS(Weekly_Local!$U:$U,"2024-25",Weekly_Local!$T:$T,$A69,Weekly_Local!$C:$C,"&lt;&gt;")=0,"",SUMIFS(Weekly_Local!$C:$C,Weekly_Local!$U:$U,"2024-25",Weekly_Local!$T:$T,$A69))</f>
        <v>2</v>
      </c>
      <c r="E69" s="5" t="n">
        <f aca="false">IF(COUNTIFS(Weekly_Local!$U:$U,"2025-26",Weekly_Local!$T:$T,$A69,Weekly_Local!$C:$C,"&lt;&gt;")=0,"",SUMIFS(Weekly_Local!$C:$C,Weekly_Local!$U:$U,"2025-26",Weekly_Local!$T:$T,$A69))</f>
        <v>0</v>
      </c>
      <c r="F69" s="5" t="str">
        <f aca="false">IF(COUNTIFS(Weekly_Local!$U:$U,"2026-27",Weekly_Local!$T:$T,$A69,Weekly_Local!$C:$C,"&lt;&gt;")=0,"",SUMIFS(Weekly_Local!$C:$C,Weekly_Local!$U:$U,"2026-27",Weekly_Local!$T:$T,$A69))</f>
        <v/>
      </c>
      <c r="G69" s="5" t="str">
        <f aca="false">IF(AND($A69=53,DATE(YEAR(Config!$B$3),1,4)-WEEKDAY(DATE(YEAR(Config!$B$3),1,4))+1+364&gt;=DATE(YEAR(Config!$B$3)+1,1,4)-WEEKDAY(DATE(YEAR(Config!$B$3)+1,1,4))+1),"",TEXT(DATE(YEAR(Config!$B$3)+IF($A69&gt;=36,0,1),1,4)-WEEKDAY(DATE(YEAR(Config!$B$3)+IF($A69&gt;=36,0,1),1,4))+1+7*($A69-1)+1,"m/d/yy")&amp;" – "&amp;TEXT(DATE(YEAR(Config!$B$3)+IF($A69&gt;=36,0,1),1,4)-WEEKDAY(DATE(YEAR(Config!$B$3)+IF($A69&gt;=36,0,1),1,4))+1+7*($A69-1)+7,"m/d/yy"))</f>
        <v>10/26/26 – 11/1/26</v>
      </c>
    </row>
    <row r="70" customFormat="false" ht="15" hidden="false" customHeight="false" outlineLevel="0" collapsed="false">
      <c r="A70" s="5" t="n">
        <v>44</v>
      </c>
      <c r="B70" s="5" t="str">
        <f aca="false">IF(COUNTIFS(Weekly_Local!$U:$U,"2022-23",Weekly_Local!$T:$T,$A70,Weekly_Local!$C:$C,"&lt;&gt;")=0,"",SUMIFS(Weekly_Local!$C:$C,Weekly_Local!$U:$U,"2022-23",Weekly_Local!$T:$T,$A70))</f>
        <v/>
      </c>
      <c r="C70" s="5" t="n">
        <f aca="false">IF(COUNTIFS(Weekly_Local!$U:$U,"2023-24",Weekly_Local!$T:$T,$A70,Weekly_Local!$C:$C,"&lt;&gt;")=0,"",SUMIFS(Weekly_Local!$C:$C,Weekly_Local!$U:$U,"2023-24",Weekly_Local!$T:$T,$A70))</f>
        <v>0</v>
      </c>
      <c r="D70" s="5" t="n">
        <f aca="false">IF(COUNTIFS(Weekly_Local!$U:$U,"2024-25",Weekly_Local!$T:$T,$A70,Weekly_Local!$C:$C,"&lt;&gt;")=0,"",SUMIFS(Weekly_Local!$C:$C,Weekly_Local!$U:$U,"2024-25",Weekly_Local!$T:$T,$A70))</f>
        <v>0</v>
      </c>
      <c r="E70" s="5" t="n">
        <f aca="false">IF(COUNTIFS(Weekly_Local!$U:$U,"2025-26",Weekly_Local!$T:$T,$A70,Weekly_Local!$C:$C,"&lt;&gt;")=0,"",SUMIFS(Weekly_Local!$C:$C,Weekly_Local!$U:$U,"2025-26",Weekly_Local!$T:$T,$A70))</f>
        <v>0</v>
      </c>
      <c r="F70" s="5" t="str">
        <f aca="false">IF(COUNTIFS(Weekly_Local!$U:$U,"2026-27",Weekly_Local!$T:$T,$A70,Weekly_Local!$C:$C,"&lt;&gt;")=0,"",SUMIFS(Weekly_Local!$C:$C,Weekly_Local!$U:$U,"2026-27",Weekly_Local!$T:$T,$A70))</f>
        <v/>
      </c>
      <c r="G70" s="5" t="str">
        <f aca="false">IF(AND($A70=53,DATE(YEAR(Config!$B$3),1,4)-WEEKDAY(DATE(YEAR(Config!$B$3),1,4))+1+364&gt;=DATE(YEAR(Config!$B$3)+1,1,4)-WEEKDAY(DATE(YEAR(Config!$B$3)+1,1,4))+1),"",TEXT(DATE(YEAR(Config!$B$3)+IF($A70&gt;=36,0,1),1,4)-WEEKDAY(DATE(YEAR(Config!$B$3)+IF($A70&gt;=36,0,1),1,4))+1+7*($A70-1)+1,"m/d/yy")&amp;" – "&amp;TEXT(DATE(YEAR(Config!$B$3)+IF($A70&gt;=36,0,1),1,4)-WEEKDAY(DATE(YEAR(Config!$B$3)+IF($A70&gt;=36,0,1),1,4))+1+7*($A70-1)+7,"m/d/yy"))</f>
        <v>11/2/26 – 11/8/26</v>
      </c>
    </row>
    <row r="71" customFormat="false" ht="15" hidden="false" customHeight="false" outlineLevel="0" collapsed="false">
      <c r="A71" s="5" t="n">
        <v>45</v>
      </c>
      <c r="B71" s="5" t="str">
        <f aca="false">IF(COUNTIFS(Weekly_Local!$U:$U,"2022-23",Weekly_Local!$T:$T,$A71,Weekly_Local!$C:$C,"&lt;&gt;")=0,"",SUMIFS(Weekly_Local!$C:$C,Weekly_Local!$U:$U,"2022-23",Weekly_Local!$T:$T,$A71))</f>
        <v/>
      </c>
      <c r="C71" s="5" t="n">
        <f aca="false">IF(COUNTIFS(Weekly_Local!$U:$U,"2023-24",Weekly_Local!$T:$T,$A71,Weekly_Local!$C:$C,"&lt;&gt;")=0,"",SUMIFS(Weekly_Local!$C:$C,Weekly_Local!$U:$U,"2023-24",Weekly_Local!$T:$T,$A71))</f>
        <v>0</v>
      </c>
      <c r="D71" s="5" t="n">
        <f aca="false">IF(COUNTIFS(Weekly_Local!$U:$U,"2024-25",Weekly_Local!$T:$T,$A71,Weekly_Local!$C:$C,"&lt;&gt;")=0,"",SUMIFS(Weekly_Local!$C:$C,Weekly_Local!$U:$U,"2024-25",Weekly_Local!$T:$T,$A71))</f>
        <v>0</v>
      </c>
      <c r="E71" s="5" t="n">
        <f aca="false">IF(COUNTIFS(Weekly_Local!$U:$U,"2025-26",Weekly_Local!$T:$T,$A71,Weekly_Local!$C:$C,"&lt;&gt;")=0,"",SUMIFS(Weekly_Local!$C:$C,Weekly_Local!$U:$U,"2025-26",Weekly_Local!$T:$T,$A71))</f>
        <v>0</v>
      </c>
      <c r="F71" s="5" t="str">
        <f aca="false">IF(COUNTIFS(Weekly_Local!$U:$U,"2026-27",Weekly_Local!$T:$T,$A71,Weekly_Local!$C:$C,"&lt;&gt;")=0,"",SUMIFS(Weekly_Local!$C:$C,Weekly_Local!$U:$U,"2026-27",Weekly_Local!$T:$T,$A71))</f>
        <v/>
      </c>
      <c r="G71" s="5" t="str">
        <f aca="false">IF(AND($A71=53,DATE(YEAR(Config!$B$3),1,4)-WEEKDAY(DATE(YEAR(Config!$B$3),1,4))+1+364&gt;=DATE(YEAR(Config!$B$3)+1,1,4)-WEEKDAY(DATE(YEAR(Config!$B$3)+1,1,4))+1),"",TEXT(DATE(YEAR(Config!$B$3)+IF($A71&gt;=36,0,1),1,4)-WEEKDAY(DATE(YEAR(Config!$B$3)+IF($A71&gt;=36,0,1),1,4))+1+7*($A71-1)+1,"m/d/yy")&amp;" – "&amp;TEXT(DATE(YEAR(Config!$B$3)+IF($A71&gt;=36,0,1),1,4)-WEEKDAY(DATE(YEAR(Config!$B$3)+IF($A71&gt;=36,0,1),1,4))+1+7*($A71-1)+7,"m/d/yy"))</f>
        <v>11/9/26 – 11/15/26</v>
      </c>
    </row>
    <row r="72" customFormat="false" ht="15" hidden="false" customHeight="false" outlineLevel="0" collapsed="false">
      <c r="A72" s="5" t="n">
        <v>46</v>
      </c>
      <c r="B72" s="5" t="str">
        <f aca="false">IF(COUNTIFS(Weekly_Local!$U:$U,"2022-23",Weekly_Local!$T:$T,$A72,Weekly_Local!$C:$C,"&lt;&gt;")=0,"",SUMIFS(Weekly_Local!$C:$C,Weekly_Local!$U:$U,"2022-23",Weekly_Local!$T:$T,$A72))</f>
        <v/>
      </c>
      <c r="C72" s="5" t="n">
        <f aca="false">IF(COUNTIFS(Weekly_Local!$U:$U,"2023-24",Weekly_Local!$T:$T,$A72,Weekly_Local!$C:$C,"&lt;&gt;")=0,"",SUMIFS(Weekly_Local!$C:$C,Weekly_Local!$U:$U,"2023-24",Weekly_Local!$T:$T,$A72))</f>
        <v>4</v>
      </c>
      <c r="D72" s="5" t="n">
        <f aca="false">IF(COUNTIFS(Weekly_Local!$U:$U,"2024-25",Weekly_Local!$T:$T,$A72,Weekly_Local!$C:$C,"&lt;&gt;")=0,"",SUMIFS(Weekly_Local!$C:$C,Weekly_Local!$U:$U,"2024-25",Weekly_Local!$T:$T,$A72))</f>
        <v>0</v>
      </c>
      <c r="E72" s="5" t="n">
        <f aca="false">IF(COUNTIFS(Weekly_Local!$U:$U,"2025-26",Weekly_Local!$T:$T,$A72,Weekly_Local!$C:$C,"&lt;&gt;")=0,"",SUMIFS(Weekly_Local!$C:$C,Weekly_Local!$U:$U,"2025-26",Weekly_Local!$T:$T,$A72))</f>
        <v>0</v>
      </c>
      <c r="F72" s="5" t="str">
        <f aca="false">IF(COUNTIFS(Weekly_Local!$U:$U,"2026-27",Weekly_Local!$T:$T,$A72,Weekly_Local!$C:$C,"&lt;&gt;")=0,"",SUMIFS(Weekly_Local!$C:$C,Weekly_Local!$U:$U,"2026-27",Weekly_Local!$T:$T,$A72))</f>
        <v/>
      </c>
      <c r="G72" s="5" t="str">
        <f aca="false">IF(AND($A72=53,DATE(YEAR(Config!$B$3),1,4)-WEEKDAY(DATE(YEAR(Config!$B$3),1,4))+1+364&gt;=DATE(YEAR(Config!$B$3)+1,1,4)-WEEKDAY(DATE(YEAR(Config!$B$3)+1,1,4))+1),"",TEXT(DATE(YEAR(Config!$B$3)+IF($A72&gt;=36,0,1),1,4)-WEEKDAY(DATE(YEAR(Config!$B$3)+IF($A72&gt;=36,0,1),1,4))+1+7*($A72-1)+1,"m/d/yy")&amp;" – "&amp;TEXT(DATE(YEAR(Config!$B$3)+IF($A72&gt;=36,0,1),1,4)-WEEKDAY(DATE(YEAR(Config!$B$3)+IF($A72&gt;=36,0,1),1,4))+1+7*($A72-1)+7,"m/d/yy"))</f>
        <v>11/16/26 – 11/22/26</v>
      </c>
    </row>
    <row r="73" customFormat="false" ht="15" hidden="false" customHeight="false" outlineLevel="0" collapsed="false">
      <c r="A73" s="5" t="n">
        <v>47</v>
      </c>
      <c r="B73" s="5" t="str">
        <f aca="false">IF(COUNTIFS(Weekly_Local!$U:$U,"2022-23",Weekly_Local!$T:$T,$A73,Weekly_Local!$C:$C,"&lt;&gt;")=0,"",SUMIFS(Weekly_Local!$C:$C,Weekly_Local!$U:$U,"2022-23",Weekly_Local!$T:$T,$A73))</f>
        <v/>
      </c>
      <c r="C73" s="5" t="n">
        <f aca="false">IF(COUNTIFS(Weekly_Local!$U:$U,"2023-24",Weekly_Local!$T:$T,$A73,Weekly_Local!$C:$C,"&lt;&gt;")=0,"",SUMIFS(Weekly_Local!$C:$C,Weekly_Local!$U:$U,"2023-24",Weekly_Local!$T:$T,$A73))</f>
        <v>2</v>
      </c>
      <c r="D73" s="5" t="n">
        <f aca="false">IF(COUNTIFS(Weekly_Local!$U:$U,"2024-25",Weekly_Local!$T:$T,$A73,Weekly_Local!$C:$C,"&lt;&gt;")=0,"",SUMIFS(Weekly_Local!$C:$C,Weekly_Local!$U:$U,"2024-25",Weekly_Local!$T:$T,$A73))</f>
        <v>1</v>
      </c>
      <c r="E73" s="5" t="n">
        <f aca="false">IF(COUNTIFS(Weekly_Local!$U:$U,"2025-26",Weekly_Local!$T:$T,$A73,Weekly_Local!$C:$C,"&lt;&gt;")=0,"",SUMIFS(Weekly_Local!$C:$C,Weekly_Local!$U:$U,"2025-26",Weekly_Local!$T:$T,$A73))</f>
        <v>1</v>
      </c>
      <c r="F73" s="5" t="str">
        <f aca="false">IF(COUNTIFS(Weekly_Local!$U:$U,"2026-27",Weekly_Local!$T:$T,$A73,Weekly_Local!$C:$C,"&lt;&gt;")=0,"",SUMIFS(Weekly_Local!$C:$C,Weekly_Local!$U:$U,"2026-27",Weekly_Local!$T:$T,$A73))</f>
        <v/>
      </c>
      <c r="G73" s="5" t="str">
        <f aca="false">IF(AND($A73=53,DATE(YEAR(Config!$B$3),1,4)-WEEKDAY(DATE(YEAR(Config!$B$3),1,4))+1+364&gt;=DATE(YEAR(Config!$B$3)+1,1,4)-WEEKDAY(DATE(YEAR(Config!$B$3)+1,1,4))+1),"",TEXT(DATE(YEAR(Config!$B$3)+IF($A73&gt;=36,0,1),1,4)-WEEKDAY(DATE(YEAR(Config!$B$3)+IF($A73&gt;=36,0,1),1,4))+1+7*($A73-1)+1,"m/d/yy")&amp;" – "&amp;TEXT(DATE(YEAR(Config!$B$3)+IF($A73&gt;=36,0,1),1,4)-WEEKDAY(DATE(YEAR(Config!$B$3)+IF($A73&gt;=36,0,1),1,4))+1+7*($A73-1)+7,"m/d/yy"))</f>
        <v>11/23/26 – 11/29/26</v>
      </c>
    </row>
    <row r="74" customFormat="false" ht="15" hidden="false" customHeight="false" outlineLevel="0" collapsed="false">
      <c r="A74" s="5" t="n">
        <v>48</v>
      </c>
      <c r="B74" s="5" t="n">
        <f aca="false">IF(COUNTIFS(Weekly_Local!$U:$U,"2022-23",Weekly_Local!$T:$T,$A74,Weekly_Local!$C:$C,"&lt;&gt;")=0,"",SUMIFS(Weekly_Local!$C:$C,Weekly_Local!$U:$U,"2022-23",Weekly_Local!$T:$T,$A74))</f>
        <v>2</v>
      </c>
      <c r="C74" s="5" t="n">
        <f aca="false">IF(COUNTIFS(Weekly_Local!$U:$U,"2023-24",Weekly_Local!$T:$T,$A74,Weekly_Local!$C:$C,"&lt;&gt;")=0,"",SUMIFS(Weekly_Local!$C:$C,Weekly_Local!$U:$U,"2023-24",Weekly_Local!$T:$T,$A74))</f>
        <v>4</v>
      </c>
      <c r="D74" s="5" t="n">
        <f aca="false">IF(COUNTIFS(Weekly_Local!$U:$U,"2024-25",Weekly_Local!$T:$T,$A74,Weekly_Local!$C:$C,"&lt;&gt;")=0,"",SUMIFS(Weekly_Local!$C:$C,Weekly_Local!$U:$U,"2024-25",Weekly_Local!$T:$T,$A74))</f>
        <v>0</v>
      </c>
      <c r="E74" s="5" t="n">
        <f aca="false">IF(COUNTIFS(Weekly_Local!$U:$U,"2025-26",Weekly_Local!$T:$T,$A74,Weekly_Local!$C:$C,"&lt;&gt;")=0,"",SUMIFS(Weekly_Local!$C:$C,Weekly_Local!$U:$U,"2025-26",Weekly_Local!$T:$T,$A74))</f>
        <v>0</v>
      </c>
      <c r="F74" s="5" t="str">
        <f aca="false">IF(COUNTIFS(Weekly_Local!$U:$U,"2026-27",Weekly_Local!$T:$T,$A74,Weekly_Local!$C:$C,"&lt;&gt;")=0,"",SUMIFS(Weekly_Local!$C:$C,Weekly_Local!$U:$U,"2026-27",Weekly_Local!$T:$T,$A74))</f>
        <v/>
      </c>
      <c r="G74" s="5" t="str">
        <f aca="false">IF(AND($A74=53,DATE(YEAR(Config!$B$3),1,4)-WEEKDAY(DATE(YEAR(Config!$B$3),1,4))+1+364&gt;=DATE(YEAR(Config!$B$3)+1,1,4)-WEEKDAY(DATE(YEAR(Config!$B$3)+1,1,4))+1),"",TEXT(DATE(YEAR(Config!$B$3)+IF($A74&gt;=36,0,1),1,4)-WEEKDAY(DATE(YEAR(Config!$B$3)+IF($A74&gt;=36,0,1),1,4))+1+7*($A74-1)+1,"m/d/yy")&amp;" – "&amp;TEXT(DATE(YEAR(Config!$B$3)+IF($A74&gt;=36,0,1),1,4)-WEEKDAY(DATE(YEAR(Config!$B$3)+IF($A74&gt;=36,0,1),1,4))+1+7*($A74-1)+7,"m/d/yy"))</f>
        <v>11/30/26 – 12/6/26</v>
      </c>
    </row>
    <row r="75" customFormat="false" ht="15" hidden="false" customHeight="false" outlineLevel="0" collapsed="false">
      <c r="A75" s="5" t="n">
        <v>49</v>
      </c>
      <c r="B75" s="5" t="n">
        <f aca="false">IF(COUNTIFS(Weekly_Local!$U:$U,"2022-23",Weekly_Local!$T:$T,$A75,Weekly_Local!$C:$C,"&lt;&gt;")=0,"",SUMIFS(Weekly_Local!$C:$C,Weekly_Local!$U:$U,"2022-23",Weekly_Local!$T:$T,$A75))</f>
        <v>2</v>
      </c>
      <c r="C75" s="5" t="n">
        <f aca="false">IF(COUNTIFS(Weekly_Local!$U:$U,"2023-24",Weekly_Local!$T:$T,$A75,Weekly_Local!$C:$C,"&lt;&gt;")=0,"",SUMIFS(Weekly_Local!$C:$C,Weekly_Local!$U:$U,"2023-24",Weekly_Local!$T:$T,$A75))</f>
        <v>1</v>
      </c>
      <c r="D75" s="5" t="n">
        <f aca="false">IF(COUNTIFS(Weekly_Local!$U:$U,"2024-25",Weekly_Local!$T:$T,$A75,Weekly_Local!$C:$C,"&lt;&gt;")=0,"",SUMIFS(Weekly_Local!$C:$C,Weekly_Local!$U:$U,"2024-25",Weekly_Local!$T:$T,$A75))</f>
        <v>4</v>
      </c>
      <c r="E75" s="5" t="n">
        <f aca="false">IF(COUNTIFS(Weekly_Local!$U:$U,"2025-26",Weekly_Local!$T:$T,$A75,Weekly_Local!$C:$C,"&lt;&gt;")=0,"",SUMIFS(Weekly_Local!$C:$C,Weekly_Local!$U:$U,"2025-26",Weekly_Local!$T:$T,$A75))</f>
        <v>1</v>
      </c>
      <c r="F75" s="5" t="str">
        <f aca="false">IF(COUNTIFS(Weekly_Local!$U:$U,"2026-27",Weekly_Local!$T:$T,$A75,Weekly_Local!$C:$C,"&lt;&gt;")=0,"",SUMIFS(Weekly_Local!$C:$C,Weekly_Local!$U:$U,"2026-27",Weekly_Local!$T:$T,$A75))</f>
        <v/>
      </c>
      <c r="G75" s="5" t="str">
        <f aca="false">IF(AND($A75=53,DATE(YEAR(Config!$B$3),1,4)-WEEKDAY(DATE(YEAR(Config!$B$3),1,4))+1+364&gt;=DATE(YEAR(Config!$B$3)+1,1,4)-WEEKDAY(DATE(YEAR(Config!$B$3)+1,1,4))+1),"",TEXT(DATE(YEAR(Config!$B$3)+IF($A75&gt;=36,0,1),1,4)-WEEKDAY(DATE(YEAR(Config!$B$3)+IF($A75&gt;=36,0,1),1,4))+1+7*($A75-1)+1,"m/d/yy")&amp;" – "&amp;TEXT(DATE(YEAR(Config!$B$3)+IF($A75&gt;=36,0,1),1,4)-WEEKDAY(DATE(YEAR(Config!$B$3)+IF($A75&gt;=36,0,1),1,4))+1+7*($A75-1)+7,"m/d/yy"))</f>
        <v>12/7/26 – 12/13/26</v>
      </c>
    </row>
    <row r="76" customFormat="false" ht="15" hidden="false" customHeight="false" outlineLevel="0" collapsed="false">
      <c r="A76" s="5" t="n">
        <v>50</v>
      </c>
      <c r="B76" s="5" t="n">
        <f aca="false">IF(COUNTIFS(Weekly_Local!$U:$U,"2022-23",Weekly_Local!$T:$T,$A76,Weekly_Local!$C:$C,"&lt;&gt;")=0,"",SUMIFS(Weekly_Local!$C:$C,Weekly_Local!$U:$U,"2022-23",Weekly_Local!$T:$T,$A76))</f>
        <v>3</v>
      </c>
      <c r="C76" s="5" t="n">
        <f aca="false">IF(COUNTIFS(Weekly_Local!$U:$U,"2023-24",Weekly_Local!$T:$T,$A76,Weekly_Local!$C:$C,"&lt;&gt;")=0,"",SUMIFS(Weekly_Local!$C:$C,Weekly_Local!$U:$U,"2023-24",Weekly_Local!$T:$T,$A76))</f>
        <v>2</v>
      </c>
      <c r="D76" s="5" t="n">
        <f aca="false">IF(COUNTIFS(Weekly_Local!$U:$U,"2024-25",Weekly_Local!$T:$T,$A76,Weekly_Local!$C:$C,"&lt;&gt;")=0,"",SUMIFS(Weekly_Local!$C:$C,Weekly_Local!$U:$U,"2024-25",Weekly_Local!$T:$T,$A76))</f>
        <v>5</v>
      </c>
      <c r="E76" s="5" t="n">
        <f aca="false">IF(COUNTIFS(Weekly_Local!$U:$U,"2025-26",Weekly_Local!$T:$T,$A76,Weekly_Local!$C:$C,"&lt;&gt;")=0,"",SUMIFS(Weekly_Local!$C:$C,Weekly_Local!$U:$U,"2025-26",Weekly_Local!$T:$T,$A76))</f>
        <v>3</v>
      </c>
      <c r="F76" s="5" t="str">
        <f aca="false">IF(COUNTIFS(Weekly_Local!$U:$U,"2026-27",Weekly_Local!$T:$T,$A76,Weekly_Local!$C:$C,"&lt;&gt;")=0,"",SUMIFS(Weekly_Local!$C:$C,Weekly_Local!$U:$U,"2026-27",Weekly_Local!$T:$T,$A76))</f>
        <v/>
      </c>
      <c r="G76" s="5" t="str">
        <f aca="false">IF(AND($A76=53,DATE(YEAR(Config!$B$3),1,4)-WEEKDAY(DATE(YEAR(Config!$B$3),1,4))+1+364&gt;=DATE(YEAR(Config!$B$3)+1,1,4)-WEEKDAY(DATE(YEAR(Config!$B$3)+1,1,4))+1),"",TEXT(DATE(YEAR(Config!$B$3)+IF($A76&gt;=36,0,1),1,4)-WEEKDAY(DATE(YEAR(Config!$B$3)+IF($A76&gt;=36,0,1),1,4))+1+7*($A76-1)+1,"m/d/yy")&amp;" – "&amp;TEXT(DATE(YEAR(Config!$B$3)+IF($A76&gt;=36,0,1),1,4)-WEEKDAY(DATE(YEAR(Config!$B$3)+IF($A76&gt;=36,0,1),1,4))+1+7*($A76-1)+7,"m/d/yy"))</f>
        <v>12/14/26 – 12/20/26</v>
      </c>
    </row>
    <row r="77" customFormat="false" ht="15" hidden="false" customHeight="false" outlineLevel="0" collapsed="false">
      <c r="A77" s="5" t="n">
        <v>51</v>
      </c>
      <c r="B77" s="5" t="n">
        <f aca="false">IF(COUNTIFS(Weekly_Local!$U:$U,"2022-23",Weekly_Local!$T:$T,$A77,Weekly_Local!$C:$C,"&lt;&gt;")=0,"",SUMIFS(Weekly_Local!$C:$C,Weekly_Local!$U:$U,"2022-23",Weekly_Local!$T:$T,$A77))</f>
        <v>1</v>
      </c>
      <c r="C77" s="5" t="n">
        <f aca="false">IF(COUNTIFS(Weekly_Local!$U:$U,"2023-24",Weekly_Local!$T:$T,$A77,Weekly_Local!$C:$C,"&lt;&gt;")=0,"",SUMIFS(Weekly_Local!$C:$C,Weekly_Local!$U:$U,"2023-24",Weekly_Local!$T:$T,$A77))</f>
        <v>19</v>
      </c>
      <c r="D77" s="5" t="n">
        <f aca="false">IF(COUNTIFS(Weekly_Local!$U:$U,"2024-25",Weekly_Local!$T:$T,$A77,Weekly_Local!$C:$C,"&lt;&gt;")=0,"",SUMIFS(Weekly_Local!$C:$C,Weekly_Local!$U:$U,"2024-25",Weekly_Local!$T:$T,$A77))</f>
        <v>11</v>
      </c>
      <c r="E77" s="5" t="n">
        <f aca="false">IF(COUNTIFS(Weekly_Local!$U:$U,"2025-26",Weekly_Local!$T:$T,$A77,Weekly_Local!$C:$C,"&lt;&gt;")=0,"",SUMIFS(Weekly_Local!$C:$C,Weekly_Local!$U:$U,"2025-26",Weekly_Local!$T:$T,$A77))</f>
        <v>4</v>
      </c>
      <c r="F77" s="5" t="str">
        <f aca="false">IF(COUNTIFS(Weekly_Local!$U:$U,"2026-27",Weekly_Local!$T:$T,$A77,Weekly_Local!$C:$C,"&lt;&gt;")=0,"",SUMIFS(Weekly_Local!$C:$C,Weekly_Local!$U:$U,"2026-27",Weekly_Local!$T:$T,$A77))</f>
        <v/>
      </c>
      <c r="G77" s="5" t="str">
        <f aca="false">IF(AND($A77=53,DATE(YEAR(Config!$B$3),1,4)-WEEKDAY(DATE(YEAR(Config!$B$3),1,4))+1+364&gt;=DATE(YEAR(Config!$B$3)+1,1,4)-WEEKDAY(DATE(YEAR(Config!$B$3)+1,1,4))+1),"",TEXT(DATE(YEAR(Config!$B$3)+IF($A77&gt;=36,0,1),1,4)-WEEKDAY(DATE(YEAR(Config!$B$3)+IF($A77&gt;=36,0,1),1,4))+1+7*($A77-1)+1,"m/d/yy")&amp;" – "&amp;TEXT(DATE(YEAR(Config!$B$3)+IF($A77&gt;=36,0,1),1,4)-WEEKDAY(DATE(YEAR(Config!$B$3)+IF($A77&gt;=36,0,1),1,4))+1+7*($A77-1)+7,"m/d/yy"))</f>
        <v>12/21/26 – 12/27/26</v>
      </c>
    </row>
    <row r="78" customFormat="false" ht="15" hidden="false" customHeight="false" outlineLevel="0" collapsed="false">
      <c r="A78" s="5" t="n">
        <v>52</v>
      </c>
      <c r="B78" s="5" t="n">
        <f aca="false">IF(COUNTIFS(Weekly_Local!$U:$U,"2022-23",Weekly_Local!$T:$T,$A78,Weekly_Local!$C:$C,"&lt;&gt;")=0,"",SUMIFS(Weekly_Local!$C:$C,Weekly_Local!$U:$U,"2022-23",Weekly_Local!$T:$T,$A78))</f>
        <v>1</v>
      </c>
      <c r="C78" s="5" t="n">
        <f aca="false">IF(COUNTIFS(Weekly_Local!$U:$U,"2023-24",Weekly_Local!$T:$T,$A78,Weekly_Local!$C:$C,"&lt;&gt;")=0,"",SUMIFS(Weekly_Local!$C:$C,Weekly_Local!$U:$U,"2023-24",Weekly_Local!$T:$T,$A78))</f>
        <v>13</v>
      </c>
      <c r="D78" s="5" t="n">
        <f aca="false">IF(COUNTIFS(Weekly_Local!$U:$U,"2024-25",Weekly_Local!$T:$T,$A78,Weekly_Local!$C:$C,"&lt;&gt;")=0,"",SUMIFS(Weekly_Local!$C:$C,Weekly_Local!$U:$U,"2024-25",Weekly_Local!$T:$T,$A78))</f>
        <v>19</v>
      </c>
      <c r="E78" s="5" t="n">
        <f aca="false">IF(COUNTIFS(Weekly_Local!$U:$U,"2025-26",Weekly_Local!$T:$T,$A78,Weekly_Local!$C:$C,"&lt;&gt;")=0,"",SUMIFS(Weekly_Local!$C:$C,Weekly_Local!$U:$U,"2025-26",Weekly_Local!$T:$T,$A78))</f>
        <v>13</v>
      </c>
      <c r="F78" s="5" t="str">
        <f aca="false">IF(COUNTIFS(Weekly_Local!$U:$U,"2026-27",Weekly_Local!$T:$T,$A78,Weekly_Local!$C:$C,"&lt;&gt;")=0,"",SUMIFS(Weekly_Local!$C:$C,Weekly_Local!$U:$U,"2026-27",Weekly_Local!$T:$T,$A78))</f>
        <v/>
      </c>
      <c r="G78" s="5" t="str">
        <f aca="false">IF(AND($A78=53,DATE(YEAR(Config!$B$3),1,4)-WEEKDAY(DATE(YEAR(Config!$B$3),1,4))+1+364&gt;=DATE(YEAR(Config!$B$3)+1,1,4)-WEEKDAY(DATE(YEAR(Config!$B$3)+1,1,4))+1),"",TEXT(DATE(YEAR(Config!$B$3)+IF($A78&gt;=36,0,1),1,4)-WEEKDAY(DATE(YEAR(Config!$B$3)+IF($A78&gt;=36,0,1),1,4))+1+7*($A78-1)+1,"m/d/yy")&amp;" – "&amp;TEXT(DATE(YEAR(Config!$B$3)+IF($A78&gt;=36,0,1),1,4)-WEEKDAY(DATE(YEAR(Config!$B$3)+IF($A78&gt;=36,0,1),1,4))+1+7*($A78-1)+7,"m/d/yy"))</f>
        <v>12/28/26 – 1/3/27</v>
      </c>
    </row>
    <row r="79" customFormat="false" ht="15" hidden="false" customHeight="false" outlineLevel="0" collapsed="false">
      <c r="A79" s="5" t="n">
        <v>53</v>
      </c>
      <c r="B79" s="5" t="str">
        <f aca="false">IF(COUNTIFS(Weekly_Local!$U:$U,"2022-23",Weekly_Local!$T:$T,$A79,Weekly_Local!$C:$C,"&lt;&gt;")=0,"",SUMIFS(Weekly_Local!$C:$C,Weekly_Local!$U:$U,"2022-23",Weekly_Local!$T:$T,$A79))</f>
        <v/>
      </c>
      <c r="C79" s="5" t="str">
        <f aca="false">IF(COUNTIFS(Weekly_Local!$U:$U,"2023-24",Weekly_Local!$T:$T,$A79,Weekly_Local!$C:$C,"&lt;&gt;")=0,"",SUMIFS(Weekly_Local!$C:$C,Weekly_Local!$U:$U,"2023-24",Weekly_Local!$T:$T,$A79))</f>
        <v/>
      </c>
      <c r="D79" s="5" t="str">
        <f aca="false">IF(COUNTIFS(Weekly_Local!$U:$U,"2024-25",Weekly_Local!$T:$T,$A79,Weekly_Local!$C:$C,"&lt;&gt;")=0,"",SUMIFS(Weekly_Local!$C:$C,Weekly_Local!$U:$U,"2024-25",Weekly_Local!$T:$T,$A79))</f>
        <v/>
      </c>
      <c r="E79" s="5" t="n">
        <f aca="false">IF(COUNTIFS(Weekly_Local!$U:$U,"2025-26",Weekly_Local!$T:$T,$A79,Weekly_Local!$C:$C,"&lt;&gt;")=0,"",SUMIFS(Weekly_Local!$C:$C,Weekly_Local!$U:$U,"2025-26",Weekly_Local!$T:$T,$A79))</f>
        <v>10</v>
      </c>
      <c r="F79" s="5" t="str">
        <f aca="false">IF(COUNTIFS(Weekly_Local!$U:$U,"2026-27",Weekly_Local!$T:$T,$A79,Weekly_Local!$C:$C,"&lt;&gt;")=0,"",SUMIFS(Weekly_Local!$C:$C,Weekly_Local!$U:$U,"2026-27",Weekly_Local!$T:$T,$A79))</f>
        <v/>
      </c>
      <c r="G79" s="5" t="str">
        <f aca="false">IF(AND($A79=53,DATE(YEAR(Config!$B$3),1,4)-WEEKDAY(DATE(YEAR(Config!$B$3),1,4))+1+364&gt;=DATE(YEAR(Config!$B$3)+1,1,4)-WEEKDAY(DATE(YEAR(Config!$B$3)+1,1,4))+1),"",TEXT(DATE(YEAR(Config!$B$3)+IF($A79&gt;=36,0,1),1,4)-WEEKDAY(DATE(YEAR(Config!$B$3)+IF($A79&gt;=36,0,1),1,4))+1+7*($A79-1)+1,"m/d/yy")&amp;" – "&amp;TEXT(DATE(YEAR(Config!$B$3)+IF($A79&gt;=36,0,1),1,4)-WEEKDAY(DATE(YEAR(Config!$B$3)+IF($A79&gt;=36,0,1),1,4))+1+7*($A79-1)+7,"m/d/yy"))</f>
        <v/>
      </c>
    </row>
    <row r="80" customFormat="false" ht="15" hidden="false" customHeight="false" outlineLevel="0" collapsed="false">
      <c r="A80" s="5" t="n">
        <v>1</v>
      </c>
      <c r="B80" s="5" t="n">
        <f aca="false">IF(COUNTIFS(Weekly_Local!$U:$U,"2022-23",Weekly_Local!$T:$T,$A80,Weekly_Local!$C:$C,"&lt;&gt;")=0,"",SUMIFS(Weekly_Local!$C:$C,Weekly_Local!$U:$U,"2022-23",Weekly_Local!$T:$T,$A80))</f>
        <v>1</v>
      </c>
      <c r="C80" s="5" t="n">
        <f aca="false">IF(COUNTIFS(Weekly_Local!$U:$U,"2023-24",Weekly_Local!$T:$T,$A80,Weekly_Local!$C:$C,"&lt;&gt;")=0,"",SUMIFS(Weekly_Local!$C:$C,Weekly_Local!$U:$U,"2023-24",Weekly_Local!$T:$T,$A80))</f>
        <v>24</v>
      </c>
      <c r="D80" s="5" t="n">
        <f aca="false">IF(COUNTIFS(Weekly_Local!$U:$U,"2024-25",Weekly_Local!$T:$T,$A80,Weekly_Local!$C:$C,"&lt;&gt;")=0,"",SUMIFS(Weekly_Local!$C:$C,Weekly_Local!$U:$U,"2024-25",Weekly_Local!$T:$T,$A80))</f>
        <v>33</v>
      </c>
      <c r="E80" s="5" t="n">
        <f aca="false">IF(COUNTIFS(Weekly_Local!$U:$U,"2025-26",Weekly_Local!$T:$T,$A80,Weekly_Local!$C:$C,"&lt;&gt;")=0,"",SUMIFS(Weekly_Local!$C:$C,Weekly_Local!$U:$U,"2025-26",Weekly_Local!$T:$T,$A80))</f>
        <v>14</v>
      </c>
      <c r="F80" s="5" t="str">
        <f aca="false">IF(COUNTIFS(Weekly_Local!$U:$U,"2026-27",Weekly_Local!$T:$T,$A80,Weekly_Local!$C:$C,"&lt;&gt;")=0,"",SUMIFS(Weekly_Local!$C:$C,Weekly_Local!$U:$U,"2026-27",Weekly_Local!$T:$T,$A80))</f>
        <v/>
      </c>
      <c r="G80" s="5" t="str">
        <f aca="false">IF(AND($A80=53,DATE(YEAR(Config!$B$3),1,4)-WEEKDAY(DATE(YEAR(Config!$B$3),1,4))+1+364&gt;=DATE(YEAR(Config!$B$3)+1,1,4)-WEEKDAY(DATE(YEAR(Config!$B$3)+1,1,4))+1),"",TEXT(DATE(YEAR(Config!$B$3)+IF($A80&gt;=36,0,1),1,4)-WEEKDAY(DATE(YEAR(Config!$B$3)+IF($A80&gt;=36,0,1),1,4))+1+7*($A80-1)+1,"m/d/yy")&amp;" – "&amp;TEXT(DATE(YEAR(Config!$B$3)+IF($A80&gt;=36,0,1),1,4)-WEEKDAY(DATE(YEAR(Config!$B$3)+IF($A80&gt;=36,0,1),1,4))+1+7*($A80-1)+7,"m/d/yy"))</f>
        <v>1/4/27 – 1/10/27</v>
      </c>
    </row>
    <row r="81" customFormat="false" ht="15" hidden="false" customHeight="false" outlineLevel="0" collapsed="false">
      <c r="A81" s="5" t="n">
        <v>2</v>
      </c>
      <c r="B81" s="5" t="n">
        <f aca="false">IF(COUNTIFS(Weekly_Local!$U:$U,"2022-23",Weekly_Local!$T:$T,$A81,Weekly_Local!$C:$C,"&lt;&gt;")=0,"",SUMIFS(Weekly_Local!$C:$C,Weekly_Local!$U:$U,"2022-23",Weekly_Local!$T:$T,$A81))</f>
        <v>0</v>
      </c>
      <c r="C81" s="5" t="n">
        <f aca="false">IF(COUNTIFS(Weekly_Local!$U:$U,"2023-24",Weekly_Local!$T:$T,$A81,Weekly_Local!$C:$C,"&lt;&gt;")=0,"",SUMIFS(Weekly_Local!$C:$C,Weekly_Local!$U:$U,"2023-24",Weekly_Local!$T:$T,$A81))</f>
        <v>7</v>
      </c>
      <c r="D81" s="5" t="n">
        <f aca="false">IF(COUNTIFS(Weekly_Local!$U:$U,"2024-25",Weekly_Local!$T:$T,$A81,Weekly_Local!$C:$C,"&lt;&gt;")=0,"",SUMIFS(Weekly_Local!$C:$C,Weekly_Local!$U:$U,"2024-25",Weekly_Local!$T:$T,$A81))</f>
        <v>16</v>
      </c>
      <c r="E81" s="5" t="n">
        <f aca="false">IF(COUNTIFS(Weekly_Local!$U:$U,"2025-26",Weekly_Local!$T:$T,$A81,Weekly_Local!$C:$C,"&lt;&gt;")=0,"",SUMIFS(Weekly_Local!$C:$C,Weekly_Local!$U:$U,"2025-26",Weekly_Local!$T:$T,$A81))</f>
        <v>16</v>
      </c>
      <c r="F81" s="5" t="str">
        <f aca="false">IF(COUNTIFS(Weekly_Local!$U:$U,"2026-27",Weekly_Local!$T:$T,$A81,Weekly_Local!$C:$C,"&lt;&gt;")=0,"",SUMIFS(Weekly_Local!$C:$C,Weekly_Local!$U:$U,"2026-27",Weekly_Local!$T:$T,$A81))</f>
        <v/>
      </c>
      <c r="G81" s="5" t="str">
        <f aca="false">IF(AND($A81=53,DATE(YEAR(Config!$B$3),1,4)-WEEKDAY(DATE(YEAR(Config!$B$3),1,4))+1+364&gt;=DATE(YEAR(Config!$B$3)+1,1,4)-WEEKDAY(DATE(YEAR(Config!$B$3)+1,1,4))+1),"",TEXT(DATE(YEAR(Config!$B$3)+IF($A81&gt;=36,0,1),1,4)-WEEKDAY(DATE(YEAR(Config!$B$3)+IF($A81&gt;=36,0,1),1,4))+1+7*($A81-1)+1,"m/d/yy")&amp;" – "&amp;TEXT(DATE(YEAR(Config!$B$3)+IF($A81&gt;=36,0,1),1,4)-WEEKDAY(DATE(YEAR(Config!$B$3)+IF($A81&gt;=36,0,1),1,4))+1+7*($A81-1)+7,"m/d/yy"))</f>
        <v>1/11/27 – 1/17/27</v>
      </c>
    </row>
    <row r="82" customFormat="false" ht="15" hidden="false" customHeight="false" outlineLevel="0" collapsed="false">
      <c r="A82" s="5" t="n">
        <v>3</v>
      </c>
      <c r="B82" s="5" t="n">
        <f aca="false">IF(COUNTIFS(Weekly_Local!$U:$U,"2022-23",Weekly_Local!$T:$T,$A82,Weekly_Local!$C:$C,"&lt;&gt;")=0,"",SUMIFS(Weekly_Local!$C:$C,Weekly_Local!$U:$U,"2022-23",Weekly_Local!$T:$T,$A82))</f>
        <v>0</v>
      </c>
      <c r="C82" s="5" t="n">
        <f aca="false">IF(COUNTIFS(Weekly_Local!$U:$U,"2023-24",Weekly_Local!$T:$T,$A82,Weekly_Local!$C:$C,"&lt;&gt;")=0,"",SUMIFS(Weekly_Local!$C:$C,Weekly_Local!$U:$U,"2023-24",Weekly_Local!$T:$T,$A82))</f>
        <v>13</v>
      </c>
      <c r="D82" s="5" t="n">
        <f aca="false">IF(COUNTIFS(Weekly_Local!$U:$U,"2024-25",Weekly_Local!$T:$T,$A82,Weekly_Local!$C:$C,"&lt;&gt;")=0,"",SUMIFS(Weekly_Local!$C:$C,Weekly_Local!$U:$U,"2024-25",Weekly_Local!$T:$T,$A82))</f>
        <v>11</v>
      </c>
      <c r="E82" s="5" t="n">
        <f aca="false">IF(COUNTIFS(Weekly_Local!$U:$U,"2025-26",Weekly_Local!$T:$T,$A82,Weekly_Local!$C:$C,"&lt;&gt;")=0,"",SUMIFS(Weekly_Local!$C:$C,Weekly_Local!$U:$U,"2025-26",Weekly_Local!$T:$T,$A82))</f>
        <v>30</v>
      </c>
      <c r="F82" s="5" t="str">
        <f aca="false">IF(COUNTIFS(Weekly_Local!$U:$U,"2026-27",Weekly_Local!$T:$T,$A82,Weekly_Local!$C:$C,"&lt;&gt;")=0,"",SUMIFS(Weekly_Local!$C:$C,Weekly_Local!$U:$U,"2026-27",Weekly_Local!$T:$T,$A82))</f>
        <v/>
      </c>
      <c r="G82" s="5" t="str">
        <f aca="false">IF(AND($A82=53,DATE(YEAR(Config!$B$3),1,4)-WEEKDAY(DATE(YEAR(Config!$B$3),1,4))+1+364&gt;=DATE(YEAR(Config!$B$3)+1,1,4)-WEEKDAY(DATE(YEAR(Config!$B$3)+1,1,4))+1),"",TEXT(DATE(YEAR(Config!$B$3)+IF($A82&gt;=36,0,1),1,4)-WEEKDAY(DATE(YEAR(Config!$B$3)+IF($A82&gt;=36,0,1),1,4))+1+7*($A82-1)+1,"m/d/yy")&amp;" – "&amp;TEXT(DATE(YEAR(Config!$B$3)+IF($A82&gt;=36,0,1),1,4)-WEEKDAY(DATE(YEAR(Config!$B$3)+IF($A82&gt;=36,0,1),1,4))+1+7*($A82-1)+7,"m/d/yy"))</f>
        <v>1/18/27 – 1/24/27</v>
      </c>
    </row>
    <row r="83" customFormat="false" ht="15" hidden="false" customHeight="false" outlineLevel="0" collapsed="false">
      <c r="A83" s="5" t="n">
        <v>4</v>
      </c>
      <c r="B83" s="5" t="n">
        <f aca="false">IF(COUNTIFS(Weekly_Local!$U:$U,"2022-23",Weekly_Local!$T:$T,$A83,Weekly_Local!$C:$C,"&lt;&gt;")=0,"",SUMIFS(Weekly_Local!$C:$C,Weekly_Local!$U:$U,"2022-23",Weekly_Local!$T:$T,$A83))</f>
        <v>0</v>
      </c>
      <c r="C83" s="5" t="n">
        <f aca="false">IF(COUNTIFS(Weekly_Local!$U:$U,"2023-24",Weekly_Local!$T:$T,$A83,Weekly_Local!$C:$C,"&lt;&gt;")=0,"",SUMIFS(Weekly_Local!$C:$C,Weekly_Local!$U:$U,"2023-24",Weekly_Local!$T:$T,$A83))</f>
        <v>6</v>
      </c>
      <c r="D83" s="5" t="n">
        <f aca="false">IF(COUNTIFS(Weekly_Local!$U:$U,"2024-25",Weekly_Local!$T:$T,$A83,Weekly_Local!$C:$C,"&lt;&gt;")=0,"",SUMIFS(Weekly_Local!$C:$C,Weekly_Local!$U:$U,"2024-25",Weekly_Local!$T:$T,$A83))</f>
        <v>11</v>
      </c>
      <c r="E83" s="5" t="n">
        <f aca="false">IF(COUNTIFS(Weekly_Local!$U:$U,"2025-26",Weekly_Local!$T:$T,$A83,Weekly_Local!$C:$C,"&lt;&gt;")=0,"",SUMIFS(Weekly_Local!$C:$C,Weekly_Local!$U:$U,"2025-26",Weekly_Local!$T:$T,$A83))</f>
        <v>63</v>
      </c>
      <c r="F83" s="5" t="str">
        <f aca="false">IF(COUNTIFS(Weekly_Local!$U:$U,"2026-27",Weekly_Local!$T:$T,$A83,Weekly_Local!$C:$C,"&lt;&gt;")=0,"",SUMIFS(Weekly_Local!$C:$C,Weekly_Local!$U:$U,"2026-27",Weekly_Local!$T:$T,$A83))</f>
        <v/>
      </c>
      <c r="G83" s="5" t="str">
        <f aca="false">IF(AND($A83=53,DATE(YEAR(Config!$B$3),1,4)-WEEKDAY(DATE(YEAR(Config!$B$3),1,4))+1+364&gt;=DATE(YEAR(Config!$B$3)+1,1,4)-WEEKDAY(DATE(YEAR(Config!$B$3)+1,1,4))+1),"",TEXT(DATE(YEAR(Config!$B$3)+IF($A83&gt;=36,0,1),1,4)-WEEKDAY(DATE(YEAR(Config!$B$3)+IF($A83&gt;=36,0,1),1,4))+1+7*($A83-1)+1,"m/d/yy")&amp;" – "&amp;TEXT(DATE(YEAR(Config!$B$3)+IF($A83&gt;=36,0,1),1,4)-WEEKDAY(DATE(YEAR(Config!$B$3)+IF($A83&gt;=36,0,1),1,4))+1+7*($A83-1)+7,"m/d/yy"))</f>
        <v>1/25/27 – 1/31/27</v>
      </c>
    </row>
    <row r="84" customFormat="false" ht="15" hidden="false" customHeight="false" outlineLevel="0" collapsed="false">
      <c r="A84" s="5" t="n">
        <v>5</v>
      </c>
      <c r="B84" s="5" t="n">
        <f aca="false">IF(COUNTIFS(Weekly_Local!$U:$U,"2022-23",Weekly_Local!$T:$T,$A84,Weekly_Local!$C:$C,"&lt;&gt;")=0,"",SUMIFS(Weekly_Local!$C:$C,Weekly_Local!$U:$U,"2022-23",Weekly_Local!$T:$T,$A84))</f>
        <v>0</v>
      </c>
      <c r="C84" s="5" t="n">
        <f aca="false">IF(COUNTIFS(Weekly_Local!$U:$U,"2023-24",Weekly_Local!$T:$T,$A84,Weekly_Local!$C:$C,"&lt;&gt;")=0,"",SUMIFS(Weekly_Local!$C:$C,Weekly_Local!$U:$U,"2023-24",Weekly_Local!$T:$T,$A84))</f>
        <v>12</v>
      </c>
      <c r="D84" s="5" t="n">
        <f aca="false">IF(COUNTIFS(Weekly_Local!$U:$U,"2024-25",Weekly_Local!$T:$T,$A84,Weekly_Local!$C:$C,"&lt;&gt;")=0,"",SUMIFS(Weekly_Local!$C:$C,Weekly_Local!$U:$U,"2024-25",Weekly_Local!$T:$T,$A84))</f>
        <v>19</v>
      </c>
      <c r="E84" s="5" t="n">
        <f aca="false">IF(COUNTIFS(Weekly_Local!$U:$U,"2025-26",Weekly_Local!$T:$T,$A84,Weekly_Local!$C:$C,"&lt;&gt;")=0,"",SUMIFS(Weekly_Local!$C:$C,Weekly_Local!$U:$U,"2025-26",Weekly_Local!$T:$T,$A84))</f>
        <v>47</v>
      </c>
      <c r="F84" s="5" t="str">
        <f aca="false">IF(COUNTIFS(Weekly_Local!$U:$U,"2026-27",Weekly_Local!$T:$T,$A84,Weekly_Local!$C:$C,"&lt;&gt;")=0,"",SUMIFS(Weekly_Local!$C:$C,Weekly_Local!$U:$U,"2026-27",Weekly_Local!$T:$T,$A84))</f>
        <v/>
      </c>
      <c r="G84" s="5" t="str">
        <f aca="false">IF(AND($A84=53,DATE(YEAR(Config!$B$3),1,4)-WEEKDAY(DATE(YEAR(Config!$B$3),1,4))+1+364&gt;=DATE(YEAR(Config!$B$3)+1,1,4)-WEEKDAY(DATE(YEAR(Config!$B$3)+1,1,4))+1),"",TEXT(DATE(YEAR(Config!$B$3)+IF($A84&gt;=36,0,1),1,4)-WEEKDAY(DATE(YEAR(Config!$B$3)+IF($A84&gt;=36,0,1),1,4))+1+7*($A84-1)+1,"m/d/yy")&amp;" – "&amp;TEXT(DATE(YEAR(Config!$B$3)+IF($A84&gt;=36,0,1),1,4)-WEEKDAY(DATE(YEAR(Config!$B$3)+IF($A84&gt;=36,0,1),1,4))+1+7*($A84-1)+7,"m/d/yy"))</f>
        <v>2/1/27 – 2/7/27</v>
      </c>
    </row>
    <row r="85" customFormat="false" ht="15" hidden="false" customHeight="false" outlineLevel="0" collapsed="false">
      <c r="A85" s="5" t="n">
        <v>6</v>
      </c>
      <c r="B85" s="5" t="n">
        <f aca="false">IF(COUNTIFS(Weekly_Local!$U:$U,"2022-23",Weekly_Local!$T:$T,$A85,Weekly_Local!$C:$C,"&lt;&gt;")=0,"",SUMIFS(Weekly_Local!$C:$C,Weekly_Local!$U:$U,"2022-23",Weekly_Local!$T:$T,$A85))</f>
        <v>2</v>
      </c>
      <c r="C85" s="5" t="n">
        <f aca="false">IF(COUNTIFS(Weekly_Local!$U:$U,"2023-24",Weekly_Local!$T:$T,$A85,Weekly_Local!$C:$C,"&lt;&gt;")=0,"",SUMIFS(Weekly_Local!$C:$C,Weekly_Local!$U:$U,"2023-24",Weekly_Local!$T:$T,$A85))</f>
        <v>8</v>
      </c>
      <c r="D85" s="5" t="n">
        <f aca="false">IF(COUNTIFS(Weekly_Local!$U:$U,"2024-25",Weekly_Local!$T:$T,$A85,Weekly_Local!$C:$C,"&lt;&gt;")=0,"",SUMIFS(Weekly_Local!$C:$C,Weekly_Local!$U:$U,"2024-25",Weekly_Local!$T:$T,$A85))</f>
        <v>22</v>
      </c>
      <c r="E85" s="5" t="n">
        <f aca="false">IF(COUNTIFS(Weekly_Local!$U:$U,"2025-26",Weekly_Local!$T:$T,$A85,Weekly_Local!$C:$C,"&lt;&gt;")=0,"",SUMIFS(Weekly_Local!$C:$C,Weekly_Local!$U:$U,"2025-26",Weekly_Local!$T:$T,$A85))</f>
        <v>15</v>
      </c>
      <c r="F85" s="5" t="str">
        <f aca="false">IF(COUNTIFS(Weekly_Local!$U:$U,"2026-27",Weekly_Local!$T:$T,$A85,Weekly_Local!$C:$C,"&lt;&gt;")=0,"",SUMIFS(Weekly_Local!$C:$C,Weekly_Local!$U:$U,"2026-27",Weekly_Local!$T:$T,$A85))</f>
        <v/>
      </c>
      <c r="G85" s="5" t="str">
        <f aca="false">IF(AND($A85=53,DATE(YEAR(Config!$B$3),1,4)-WEEKDAY(DATE(YEAR(Config!$B$3),1,4))+1+364&gt;=DATE(YEAR(Config!$B$3)+1,1,4)-WEEKDAY(DATE(YEAR(Config!$B$3)+1,1,4))+1),"",TEXT(DATE(YEAR(Config!$B$3)+IF($A85&gt;=36,0,1),1,4)-WEEKDAY(DATE(YEAR(Config!$B$3)+IF($A85&gt;=36,0,1),1,4))+1+7*($A85-1)+1,"m/d/yy")&amp;" – "&amp;TEXT(DATE(YEAR(Config!$B$3)+IF($A85&gt;=36,0,1),1,4)-WEEKDAY(DATE(YEAR(Config!$B$3)+IF($A85&gt;=36,0,1),1,4))+1+7*($A85-1)+7,"m/d/yy"))</f>
        <v>2/8/27 – 2/14/27</v>
      </c>
    </row>
    <row r="86" customFormat="false" ht="15" hidden="false" customHeight="false" outlineLevel="0" collapsed="false">
      <c r="A86" s="5" t="n">
        <v>7</v>
      </c>
      <c r="B86" s="5" t="n">
        <f aca="false">IF(COUNTIFS(Weekly_Local!$U:$U,"2022-23",Weekly_Local!$T:$T,$A86,Weekly_Local!$C:$C,"&lt;&gt;")=0,"",SUMIFS(Weekly_Local!$C:$C,Weekly_Local!$U:$U,"2022-23",Weekly_Local!$T:$T,$A86))</f>
        <v>0</v>
      </c>
      <c r="C86" s="5" t="n">
        <f aca="false">IF(COUNTIFS(Weekly_Local!$U:$U,"2023-24",Weekly_Local!$T:$T,$A86,Weekly_Local!$C:$C,"&lt;&gt;")=0,"",SUMIFS(Weekly_Local!$C:$C,Weekly_Local!$U:$U,"2023-24",Weekly_Local!$T:$T,$A86))</f>
        <v>6</v>
      </c>
      <c r="D86" s="5" t="n">
        <f aca="false">IF(COUNTIFS(Weekly_Local!$U:$U,"2024-25",Weekly_Local!$T:$T,$A86,Weekly_Local!$C:$C,"&lt;&gt;")=0,"",SUMIFS(Weekly_Local!$C:$C,Weekly_Local!$U:$U,"2024-25",Weekly_Local!$T:$T,$A86))</f>
        <v>13</v>
      </c>
      <c r="E86" s="5" t="n">
        <f aca="false">IF(COUNTIFS(Weekly_Local!$U:$U,"2025-26",Weekly_Local!$T:$T,$A86,Weekly_Local!$C:$C,"&lt;&gt;")=0,"",SUMIFS(Weekly_Local!$C:$C,Weekly_Local!$U:$U,"2025-26",Weekly_Local!$T:$T,$A86))</f>
        <v>7</v>
      </c>
      <c r="F86" s="5" t="str">
        <f aca="false">IF(COUNTIFS(Weekly_Local!$U:$U,"2026-27",Weekly_Local!$T:$T,$A86,Weekly_Local!$C:$C,"&lt;&gt;")=0,"",SUMIFS(Weekly_Local!$C:$C,Weekly_Local!$U:$U,"2026-27",Weekly_Local!$T:$T,$A86))</f>
        <v/>
      </c>
      <c r="G86" s="5" t="str">
        <f aca="false">IF(AND($A86=53,DATE(YEAR(Config!$B$3),1,4)-WEEKDAY(DATE(YEAR(Config!$B$3),1,4))+1+364&gt;=DATE(YEAR(Config!$B$3)+1,1,4)-WEEKDAY(DATE(YEAR(Config!$B$3)+1,1,4))+1),"",TEXT(DATE(YEAR(Config!$B$3)+IF($A86&gt;=36,0,1),1,4)-WEEKDAY(DATE(YEAR(Config!$B$3)+IF($A86&gt;=36,0,1),1,4))+1+7*($A86-1)+1,"m/d/yy")&amp;" – "&amp;TEXT(DATE(YEAR(Config!$B$3)+IF($A86&gt;=36,0,1),1,4)-WEEKDAY(DATE(YEAR(Config!$B$3)+IF($A86&gt;=36,0,1),1,4))+1+7*($A86-1)+7,"m/d/yy"))</f>
        <v>2/15/27 – 2/21/27</v>
      </c>
    </row>
    <row r="87" customFormat="false" ht="15" hidden="false" customHeight="false" outlineLevel="0" collapsed="false">
      <c r="A87" s="5" t="n">
        <v>8</v>
      </c>
      <c r="B87" s="5" t="n">
        <f aca="false">IF(COUNTIFS(Weekly_Local!$U:$U,"2022-23",Weekly_Local!$T:$T,$A87,Weekly_Local!$C:$C,"&lt;&gt;")=0,"",SUMIFS(Weekly_Local!$C:$C,Weekly_Local!$U:$U,"2022-23",Weekly_Local!$T:$T,$A87))</f>
        <v>0</v>
      </c>
      <c r="C87" s="5" t="n">
        <f aca="false">IF(COUNTIFS(Weekly_Local!$U:$U,"2023-24",Weekly_Local!$T:$T,$A87,Weekly_Local!$C:$C,"&lt;&gt;")=0,"",SUMIFS(Weekly_Local!$C:$C,Weekly_Local!$U:$U,"2023-24",Weekly_Local!$T:$T,$A87))</f>
        <v>9</v>
      </c>
      <c r="D87" s="5" t="n">
        <f aca="false">IF(COUNTIFS(Weekly_Local!$U:$U,"2024-25",Weekly_Local!$T:$T,$A87,Weekly_Local!$C:$C,"&lt;&gt;")=0,"",SUMIFS(Weekly_Local!$C:$C,Weekly_Local!$U:$U,"2024-25",Weekly_Local!$T:$T,$A87))</f>
        <v>8</v>
      </c>
      <c r="E87" s="5" t="n">
        <f aca="false">IF(COUNTIFS(Weekly_Local!$U:$U,"2025-26",Weekly_Local!$T:$T,$A87,Weekly_Local!$C:$C,"&lt;&gt;")=0,"",SUMIFS(Weekly_Local!$C:$C,Weekly_Local!$U:$U,"2025-26",Weekly_Local!$T:$T,$A87))</f>
        <v>7</v>
      </c>
      <c r="F87" s="5" t="str">
        <f aca="false">IF(COUNTIFS(Weekly_Local!$U:$U,"2026-27",Weekly_Local!$T:$T,$A87,Weekly_Local!$C:$C,"&lt;&gt;")=0,"",SUMIFS(Weekly_Local!$C:$C,Weekly_Local!$U:$U,"2026-27",Weekly_Local!$T:$T,$A87))</f>
        <v/>
      </c>
      <c r="G87" s="5" t="str">
        <f aca="false">IF(AND($A87=53,DATE(YEAR(Config!$B$3),1,4)-WEEKDAY(DATE(YEAR(Config!$B$3),1,4))+1+364&gt;=DATE(YEAR(Config!$B$3)+1,1,4)-WEEKDAY(DATE(YEAR(Config!$B$3)+1,1,4))+1),"",TEXT(DATE(YEAR(Config!$B$3)+IF($A87&gt;=36,0,1),1,4)-WEEKDAY(DATE(YEAR(Config!$B$3)+IF($A87&gt;=36,0,1),1,4))+1+7*($A87-1)+1,"m/d/yy")&amp;" – "&amp;TEXT(DATE(YEAR(Config!$B$3)+IF($A87&gt;=36,0,1),1,4)-WEEKDAY(DATE(YEAR(Config!$B$3)+IF($A87&gt;=36,0,1),1,4))+1+7*($A87-1)+7,"m/d/yy"))</f>
        <v>2/22/27 – 2/28/27</v>
      </c>
    </row>
    <row r="88" customFormat="false" ht="15" hidden="false" customHeight="false" outlineLevel="0" collapsed="false">
      <c r="A88" s="5" t="n">
        <v>9</v>
      </c>
      <c r="B88" s="5" t="n">
        <f aca="false">IF(COUNTIFS(Weekly_Local!$U:$U,"2022-23",Weekly_Local!$T:$T,$A88,Weekly_Local!$C:$C,"&lt;&gt;")=0,"",SUMIFS(Weekly_Local!$C:$C,Weekly_Local!$U:$U,"2022-23",Weekly_Local!$T:$T,$A88))</f>
        <v>0</v>
      </c>
      <c r="C88" s="5" t="n">
        <f aca="false">IF(COUNTIFS(Weekly_Local!$U:$U,"2023-24",Weekly_Local!$T:$T,$A88,Weekly_Local!$C:$C,"&lt;&gt;")=0,"",SUMIFS(Weekly_Local!$C:$C,Weekly_Local!$U:$U,"2023-24",Weekly_Local!$T:$T,$A88))</f>
        <v>5</v>
      </c>
      <c r="D88" s="5" t="n">
        <f aca="false">IF(COUNTIFS(Weekly_Local!$U:$U,"2024-25",Weekly_Local!$T:$T,$A88,Weekly_Local!$C:$C,"&lt;&gt;")=0,"",SUMIFS(Weekly_Local!$C:$C,Weekly_Local!$U:$U,"2024-25",Weekly_Local!$T:$T,$A88))</f>
        <v>8</v>
      </c>
      <c r="E88" s="5" t="n">
        <f aca="false">IF(COUNTIFS(Weekly_Local!$U:$U,"2025-26",Weekly_Local!$T:$T,$A88,Weekly_Local!$C:$C,"&lt;&gt;")=0,"",SUMIFS(Weekly_Local!$C:$C,Weekly_Local!$U:$U,"2025-26",Weekly_Local!$T:$T,$A88))</f>
        <v>5</v>
      </c>
      <c r="F88" s="5" t="str">
        <f aca="false">IF(COUNTIFS(Weekly_Local!$U:$U,"2026-27",Weekly_Local!$T:$T,$A88,Weekly_Local!$C:$C,"&lt;&gt;")=0,"",SUMIFS(Weekly_Local!$C:$C,Weekly_Local!$U:$U,"2026-27",Weekly_Local!$T:$T,$A88))</f>
        <v/>
      </c>
      <c r="G88" s="5" t="str">
        <f aca="false">IF(AND($A88=53,DATE(YEAR(Config!$B$3),1,4)-WEEKDAY(DATE(YEAR(Config!$B$3),1,4))+1+364&gt;=DATE(YEAR(Config!$B$3)+1,1,4)-WEEKDAY(DATE(YEAR(Config!$B$3)+1,1,4))+1),"",TEXT(DATE(YEAR(Config!$B$3)+IF($A88&gt;=36,0,1),1,4)-WEEKDAY(DATE(YEAR(Config!$B$3)+IF($A88&gt;=36,0,1),1,4))+1+7*($A88-1)+1,"m/d/yy")&amp;" – "&amp;TEXT(DATE(YEAR(Config!$B$3)+IF($A88&gt;=36,0,1),1,4)-WEEKDAY(DATE(YEAR(Config!$B$3)+IF($A88&gt;=36,0,1),1,4))+1+7*($A88-1)+7,"m/d/yy"))</f>
        <v>3/1/27 – 3/7/27</v>
      </c>
    </row>
    <row r="89" customFormat="false" ht="15" hidden="false" customHeight="false" outlineLevel="0" collapsed="false">
      <c r="A89" s="5" t="n">
        <v>10</v>
      </c>
      <c r="B89" s="5" t="n">
        <f aca="false">IF(COUNTIFS(Weekly_Local!$U:$U,"2022-23",Weekly_Local!$T:$T,$A89,Weekly_Local!$C:$C,"&lt;&gt;")=0,"",SUMIFS(Weekly_Local!$C:$C,Weekly_Local!$U:$U,"2022-23",Weekly_Local!$T:$T,$A89))</f>
        <v>0</v>
      </c>
      <c r="C89" s="5" t="n">
        <f aca="false">IF(COUNTIFS(Weekly_Local!$U:$U,"2023-24",Weekly_Local!$T:$T,$A89,Weekly_Local!$C:$C,"&lt;&gt;")=0,"",SUMIFS(Weekly_Local!$C:$C,Weekly_Local!$U:$U,"2023-24",Weekly_Local!$T:$T,$A89))</f>
        <v>1</v>
      </c>
      <c r="D89" s="5" t="n">
        <f aca="false">IF(COUNTIFS(Weekly_Local!$U:$U,"2024-25",Weekly_Local!$T:$T,$A89,Weekly_Local!$C:$C,"&lt;&gt;")=0,"",SUMIFS(Weekly_Local!$C:$C,Weekly_Local!$U:$U,"2024-25",Weekly_Local!$T:$T,$A89))</f>
        <v>2</v>
      </c>
      <c r="E89" s="5" t="n">
        <f aca="false">IF(COUNTIFS(Weekly_Local!$U:$U,"2025-26",Weekly_Local!$T:$T,$A89,Weekly_Local!$C:$C,"&lt;&gt;")=0,"",SUMIFS(Weekly_Local!$C:$C,Weekly_Local!$U:$U,"2025-26",Weekly_Local!$T:$T,$A89))</f>
        <v>5</v>
      </c>
      <c r="F89" s="5" t="str">
        <f aca="false">IF(COUNTIFS(Weekly_Local!$U:$U,"2026-27",Weekly_Local!$T:$T,$A89,Weekly_Local!$C:$C,"&lt;&gt;")=0,"",SUMIFS(Weekly_Local!$C:$C,Weekly_Local!$U:$U,"2026-27",Weekly_Local!$T:$T,$A89))</f>
        <v/>
      </c>
      <c r="G89" s="5" t="str">
        <f aca="false">IF(AND($A89=53,DATE(YEAR(Config!$B$3),1,4)-WEEKDAY(DATE(YEAR(Config!$B$3),1,4))+1+364&gt;=DATE(YEAR(Config!$B$3)+1,1,4)-WEEKDAY(DATE(YEAR(Config!$B$3)+1,1,4))+1),"",TEXT(DATE(YEAR(Config!$B$3)+IF($A89&gt;=36,0,1),1,4)-WEEKDAY(DATE(YEAR(Config!$B$3)+IF($A89&gt;=36,0,1),1,4))+1+7*($A89-1)+1,"m/d/yy")&amp;" – "&amp;TEXT(DATE(YEAR(Config!$B$3)+IF($A89&gt;=36,0,1),1,4)-WEEKDAY(DATE(YEAR(Config!$B$3)+IF($A89&gt;=36,0,1),1,4))+1+7*($A89-1)+7,"m/d/yy"))</f>
        <v>3/8/27 – 3/14/27</v>
      </c>
    </row>
    <row r="90" customFormat="false" ht="15" hidden="false" customHeight="false" outlineLevel="0" collapsed="false">
      <c r="A90" s="5" t="n">
        <v>11</v>
      </c>
      <c r="B90" s="5" t="n">
        <f aca="false">IF(COUNTIFS(Weekly_Local!$U:$U,"2022-23",Weekly_Local!$T:$T,$A90,Weekly_Local!$C:$C,"&lt;&gt;")=0,"",SUMIFS(Weekly_Local!$C:$C,Weekly_Local!$U:$U,"2022-23",Weekly_Local!$T:$T,$A90))</f>
        <v>0</v>
      </c>
      <c r="C90" s="5" t="n">
        <f aca="false">IF(COUNTIFS(Weekly_Local!$U:$U,"2023-24",Weekly_Local!$T:$T,$A90,Weekly_Local!$C:$C,"&lt;&gt;")=0,"",SUMIFS(Weekly_Local!$C:$C,Weekly_Local!$U:$U,"2023-24",Weekly_Local!$T:$T,$A90))</f>
        <v>6</v>
      </c>
      <c r="D90" s="5" t="n">
        <f aca="false">IF(COUNTIFS(Weekly_Local!$U:$U,"2024-25",Weekly_Local!$T:$T,$A90,Weekly_Local!$C:$C,"&lt;&gt;")=0,"",SUMIFS(Weekly_Local!$C:$C,Weekly_Local!$U:$U,"2024-25",Weekly_Local!$T:$T,$A90))</f>
        <v>6</v>
      </c>
      <c r="E90" s="5" t="n">
        <f aca="false">IF(COUNTIFS(Weekly_Local!$U:$U,"2025-26",Weekly_Local!$T:$T,$A90,Weekly_Local!$C:$C,"&lt;&gt;")=0,"",SUMIFS(Weekly_Local!$C:$C,Weekly_Local!$U:$U,"2025-26",Weekly_Local!$T:$T,$A90))</f>
        <v>6</v>
      </c>
      <c r="F90" s="5" t="str">
        <f aca="false">IF(COUNTIFS(Weekly_Local!$U:$U,"2026-27",Weekly_Local!$T:$T,$A90,Weekly_Local!$C:$C,"&lt;&gt;")=0,"",SUMIFS(Weekly_Local!$C:$C,Weekly_Local!$U:$U,"2026-27",Weekly_Local!$T:$T,$A90))</f>
        <v/>
      </c>
      <c r="G90" s="5" t="str">
        <f aca="false">IF(AND($A90=53,DATE(YEAR(Config!$B$3),1,4)-WEEKDAY(DATE(YEAR(Config!$B$3),1,4))+1+364&gt;=DATE(YEAR(Config!$B$3)+1,1,4)-WEEKDAY(DATE(YEAR(Config!$B$3)+1,1,4))+1),"",TEXT(DATE(YEAR(Config!$B$3)+IF($A90&gt;=36,0,1),1,4)-WEEKDAY(DATE(YEAR(Config!$B$3)+IF($A90&gt;=36,0,1),1,4))+1+7*($A90-1)+1,"m/d/yy")&amp;" – "&amp;TEXT(DATE(YEAR(Config!$B$3)+IF($A90&gt;=36,0,1),1,4)-WEEKDAY(DATE(YEAR(Config!$B$3)+IF($A90&gt;=36,0,1),1,4))+1+7*($A90-1)+7,"m/d/yy"))</f>
        <v>3/15/27 – 3/21/27</v>
      </c>
    </row>
    <row r="91" customFormat="false" ht="15" hidden="false" customHeight="false" outlineLevel="0" collapsed="false">
      <c r="A91" s="5" t="n">
        <v>12</v>
      </c>
      <c r="B91" s="5" t="n">
        <f aca="false">IF(COUNTIFS(Weekly_Local!$U:$U,"2022-23",Weekly_Local!$T:$T,$A91,Weekly_Local!$C:$C,"&lt;&gt;")=0,"",SUMIFS(Weekly_Local!$C:$C,Weekly_Local!$U:$U,"2022-23",Weekly_Local!$T:$T,$A91))</f>
        <v>0</v>
      </c>
      <c r="C91" s="5" t="n">
        <f aca="false">IF(COUNTIFS(Weekly_Local!$U:$U,"2023-24",Weekly_Local!$T:$T,$A91,Weekly_Local!$C:$C,"&lt;&gt;")=0,"",SUMIFS(Weekly_Local!$C:$C,Weekly_Local!$U:$U,"2023-24",Weekly_Local!$T:$T,$A91))</f>
        <v>2</v>
      </c>
      <c r="D91" s="5" t="n">
        <f aca="false">IF(COUNTIFS(Weekly_Local!$U:$U,"2024-25",Weekly_Local!$T:$T,$A91,Weekly_Local!$C:$C,"&lt;&gt;")=0,"",SUMIFS(Weekly_Local!$C:$C,Weekly_Local!$U:$U,"2024-25",Weekly_Local!$T:$T,$A91))</f>
        <v>5</v>
      </c>
      <c r="E91" s="5" t="n">
        <f aca="false">IF(COUNTIFS(Weekly_Local!$U:$U,"2025-26",Weekly_Local!$T:$T,$A91,Weekly_Local!$C:$C,"&lt;&gt;")=0,"",SUMIFS(Weekly_Local!$C:$C,Weekly_Local!$U:$U,"2025-26",Weekly_Local!$T:$T,$A91))</f>
        <v>7</v>
      </c>
      <c r="F91" s="5" t="str">
        <f aca="false">IF(COUNTIFS(Weekly_Local!$U:$U,"2026-27",Weekly_Local!$T:$T,$A91,Weekly_Local!$C:$C,"&lt;&gt;")=0,"",SUMIFS(Weekly_Local!$C:$C,Weekly_Local!$U:$U,"2026-27",Weekly_Local!$T:$T,$A91))</f>
        <v/>
      </c>
      <c r="G91" s="5" t="str">
        <f aca="false">IF(AND($A91=53,DATE(YEAR(Config!$B$3),1,4)-WEEKDAY(DATE(YEAR(Config!$B$3),1,4))+1+364&gt;=DATE(YEAR(Config!$B$3)+1,1,4)-WEEKDAY(DATE(YEAR(Config!$B$3)+1,1,4))+1),"",TEXT(DATE(YEAR(Config!$B$3)+IF($A91&gt;=36,0,1),1,4)-WEEKDAY(DATE(YEAR(Config!$B$3)+IF($A91&gt;=36,0,1),1,4))+1+7*($A91-1)+1,"m/d/yy")&amp;" – "&amp;TEXT(DATE(YEAR(Config!$B$3)+IF($A91&gt;=36,0,1),1,4)-WEEKDAY(DATE(YEAR(Config!$B$3)+IF($A91&gt;=36,0,1),1,4))+1+7*($A91-1)+7,"m/d/yy"))</f>
        <v>3/22/27 – 3/28/27</v>
      </c>
    </row>
    <row r="92" customFormat="false" ht="15" hidden="false" customHeight="false" outlineLevel="0" collapsed="false">
      <c r="A92" s="5" t="n">
        <v>13</v>
      </c>
      <c r="B92" s="5" t="n">
        <f aca="false">IF(COUNTIFS(Weekly_Local!$U:$U,"2022-23",Weekly_Local!$T:$T,$A92,Weekly_Local!$C:$C,"&lt;&gt;")=0,"",SUMIFS(Weekly_Local!$C:$C,Weekly_Local!$U:$U,"2022-23",Weekly_Local!$T:$T,$A92))</f>
        <v>0</v>
      </c>
      <c r="C92" s="5" t="n">
        <f aca="false">IF(COUNTIFS(Weekly_Local!$U:$U,"2023-24",Weekly_Local!$T:$T,$A92,Weekly_Local!$C:$C,"&lt;&gt;")=0,"",SUMIFS(Weekly_Local!$C:$C,Weekly_Local!$U:$U,"2023-24",Weekly_Local!$T:$T,$A92))</f>
        <v>2</v>
      </c>
      <c r="D92" s="5" t="n">
        <f aca="false">IF(COUNTIFS(Weekly_Local!$U:$U,"2024-25",Weekly_Local!$T:$T,$A92,Weekly_Local!$C:$C,"&lt;&gt;")=0,"",SUMIFS(Weekly_Local!$C:$C,Weekly_Local!$U:$U,"2024-25",Weekly_Local!$T:$T,$A92))</f>
        <v>3</v>
      </c>
      <c r="E92" s="5" t="n">
        <f aca="false">IF(COUNTIFS(Weekly_Local!$U:$U,"2025-26",Weekly_Local!$T:$T,$A92,Weekly_Local!$C:$C,"&lt;&gt;")=0,"",SUMIFS(Weekly_Local!$C:$C,Weekly_Local!$U:$U,"2025-26",Weekly_Local!$T:$T,$A92))</f>
        <v>2</v>
      </c>
      <c r="F92" s="5" t="str">
        <f aca="false">IF(COUNTIFS(Weekly_Local!$U:$U,"2026-27",Weekly_Local!$T:$T,$A92,Weekly_Local!$C:$C,"&lt;&gt;")=0,"",SUMIFS(Weekly_Local!$C:$C,Weekly_Local!$U:$U,"2026-27",Weekly_Local!$T:$T,$A92))</f>
        <v/>
      </c>
      <c r="G92" s="5" t="str">
        <f aca="false">IF(AND($A92=53,DATE(YEAR(Config!$B$3),1,4)-WEEKDAY(DATE(YEAR(Config!$B$3),1,4))+1+364&gt;=DATE(YEAR(Config!$B$3)+1,1,4)-WEEKDAY(DATE(YEAR(Config!$B$3)+1,1,4))+1),"",TEXT(DATE(YEAR(Config!$B$3)+IF($A92&gt;=36,0,1),1,4)-WEEKDAY(DATE(YEAR(Config!$B$3)+IF($A92&gt;=36,0,1),1,4))+1+7*($A92-1)+1,"m/d/yy")&amp;" – "&amp;TEXT(DATE(YEAR(Config!$B$3)+IF($A92&gt;=36,0,1),1,4)-WEEKDAY(DATE(YEAR(Config!$B$3)+IF($A92&gt;=36,0,1),1,4))+1+7*($A92-1)+7,"m/d/yy"))</f>
        <v>3/29/27 – 4/4/27</v>
      </c>
    </row>
    <row r="93" customFormat="false" ht="15" hidden="false" customHeight="false" outlineLevel="0" collapsed="false">
      <c r="A93" s="5" t="n">
        <v>14</v>
      </c>
      <c r="B93" s="5" t="n">
        <f aca="false">IF(COUNTIFS(Weekly_Local!$U:$U,"2022-23",Weekly_Local!$T:$T,$A93,Weekly_Local!$C:$C,"&lt;&gt;")=0,"",SUMIFS(Weekly_Local!$C:$C,Weekly_Local!$U:$U,"2022-23",Weekly_Local!$T:$T,$A93))</f>
        <v>0</v>
      </c>
      <c r="C93" s="5" t="n">
        <f aca="false">IF(COUNTIFS(Weekly_Local!$U:$U,"2023-24",Weekly_Local!$T:$T,$A93,Weekly_Local!$C:$C,"&lt;&gt;")=0,"",SUMIFS(Weekly_Local!$C:$C,Weekly_Local!$U:$U,"2023-24",Weekly_Local!$T:$T,$A93))</f>
        <v>5</v>
      </c>
      <c r="D93" s="5" t="n">
        <f aca="false">IF(COUNTIFS(Weekly_Local!$U:$U,"2024-25",Weekly_Local!$T:$T,$A93,Weekly_Local!$C:$C,"&lt;&gt;")=0,"",SUMIFS(Weekly_Local!$C:$C,Weekly_Local!$U:$U,"2024-25",Weekly_Local!$T:$T,$A93))</f>
        <v>6</v>
      </c>
      <c r="E93" s="5" t="n">
        <f aca="false">IF(COUNTIFS(Weekly_Local!$U:$U,"2025-26",Weekly_Local!$T:$T,$A93,Weekly_Local!$C:$C,"&lt;&gt;")=0,"",SUMIFS(Weekly_Local!$C:$C,Weekly_Local!$U:$U,"2025-26",Weekly_Local!$T:$T,$A93))</f>
        <v>1</v>
      </c>
      <c r="F93" s="5" t="str">
        <f aca="false">IF(COUNTIFS(Weekly_Local!$U:$U,"2026-27",Weekly_Local!$T:$T,$A93,Weekly_Local!$C:$C,"&lt;&gt;")=0,"",SUMIFS(Weekly_Local!$C:$C,Weekly_Local!$U:$U,"2026-27",Weekly_Local!$T:$T,$A93))</f>
        <v/>
      </c>
      <c r="G93" s="5" t="str">
        <f aca="false">IF(AND($A93=53,DATE(YEAR(Config!$B$3),1,4)-WEEKDAY(DATE(YEAR(Config!$B$3),1,4))+1+364&gt;=DATE(YEAR(Config!$B$3)+1,1,4)-WEEKDAY(DATE(YEAR(Config!$B$3)+1,1,4))+1),"",TEXT(DATE(YEAR(Config!$B$3)+IF($A93&gt;=36,0,1),1,4)-WEEKDAY(DATE(YEAR(Config!$B$3)+IF($A93&gt;=36,0,1),1,4))+1+7*($A93-1)+1,"m/d/yy")&amp;" – "&amp;TEXT(DATE(YEAR(Config!$B$3)+IF($A93&gt;=36,0,1),1,4)-WEEKDAY(DATE(YEAR(Config!$B$3)+IF($A93&gt;=36,0,1),1,4))+1+7*($A93-1)+7,"m/d/yy"))</f>
        <v>4/5/27 – 4/11/27</v>
      </c>
    </row>
    <row r="94" customFormat="false" ht="15" hidden="false" customHeight="false" outlineLevel="0" collapsed="false">
      <c r="A94" s="5" t="n">
        <v>15</v>
      </c>
      <c r="B94" s="5" t="n">
        <f aca="false">IF(COUNTIFS(Weekly_Local!$U:$U,"2022-23",Weekly_Local!$T:$T,$A94,Weekly_Local!$C:$C,"&lt;&gt;")=0,"",SUMIFS(Weekly_Local!$C:$C,Weekly_Local!$U:$U,"2022-23",Weekly_Local!$T:$T,$A94))</f>
        <v>0</v>
      </c>
      <c r="C94" s="5" t="n">
        <f aca="false">IF(COUNTIFS(Weekly_Local!$U:$U,"2023-24",Weekly_Local!$T:$T,$A94,Weekly_Local!$C:$C,"&lt;&gt;")=0,"",SUMIFS(Weekly_Local!$C:$C,Weekly_Local!$U:$U,"2023-24",Weekly_Local!$T:$T,$A94))</f>
        <v>5</v>
      </c>
      <c r="D94" s="5" t="n">
        <f aca="false">IF(COUNTIFS(Weekly_Local!$U:$U,"2024-25",Weekly_Local!$T:$T,$A94,Weekly_Local!$C:$C,"&lt;&gt;")=0,"",SUMIFS(Weekly_Local!$C:$C,Weekly_Local!$U:$U,"2024-25",Weekly_Local!$T:$T,$A94))</f>
        <v>1</v>
      </c>
      <c r="E94" s="5" t="n">
        <f aca="false">IF(COUNTIFS(Weekly_Local!$U:$U,"2025-26",Weekly_Local!$T:$T,$A94,Weekly_Local!$C:$C,"&lt;&gt;")=0,"",SUMIFS(Weekly_Local!$C:$C,Weekly_Local!$U:$U,"2025-26",Weekly_Local!$T:$T,$A94))</f>
        <v>0</v>
      </c>
      <c r="F94" s="5" t="str">
        <f aca="false">IF(COUNTIFS(Weekly_Local!$U:$U,"2026-27",Weekly_Local!$T:$T,$A94,Weekly_Local!$C:$C,"&lt;&gt;")=0,"",SUMIFS(Weekly_Local!$C:$C,Weekly_Local!$U:$U,"2026-27",Weekly_Local!$T:$T,$A94))</f>
        <v/>
      </c>
      <c r="G94" s="5" t="str">
        <f aca="false">IF(AND($A94=53,DATE(YEAR(Config!$B$3),1,4)-WEEKDAY(DATE(YEAR(Config!$B$3),1,4))+1+364&gt;=DATE(YEAR(Config!$B$3)+1,1,4)-WEEKDAY(DATE(YEAR(Config!$B$3)+1,1,4))+1),"",TEXT(DATE(YEAR(Config!$B$3)+IF($A94&gt;=36,0,1),1,4)-WEEKDAY(DATE(YEAR(Config!$B$3)+IF($A94&gt;=36,0,1),1,4))+1+7*($A94-1)+1,"m/d/yy")&amp;" – "&amp;TEXT(DATE(YEAR(Config!$B$3)+IF($A94&gt;=36,0,1),1,4)-WEEKDAY(DATE(YEAR(Config!$B$3)+IF($A94&gt;=36,0,1),1,4))+1+7*($A94-1)+7,"m/d/yy"))</f>
        <v>4/12/27 – 4/18/27</v>
      </c>
    </row>
    <row r="95" customFormat="false" ht="15" hidden="false" customHeight="false" outlineLevel="0" collapsed="false">
      <c r="A95" s="5" t="n">
        <v>16</v>
      </c>
      <c r="B95" s="5" t="n">
        <f aca="false">IF(COUNTIFS(Weekly_Local!$U:$U,"2022-23",Weekly_Local!$T:$T,$A95,Weekly_Local!$C:$C,"&lt;&gt;")=0,"",SUMIFS(Weekly_Local!$C:$C,Weekly_Local!$U:$U,"2022-23",Weekly_Local!$T:$T,$A95))</f>
        <v>0</v>
      </c>
      <c r="C95" s="5" t="n">
        <f aca="false">IF(COUNTIFS(Weekly_Local!$U:$U,"2023-24",Weekly_Local!$T:$T,$A95,Weekly_Local!$C:$C,"&lt;&gt;")=0,"",SUMIFS(Weekly_Local!$C:$C,Weekly_Local!$U:$U,"2023-24",Weekly_Local!$T:$T,$A95))</f>
        <v>3</v>
      </c>
      <c r="D95" s="5" t="n">
        <f aca="false">IF(COUNTIFS(Weekly_Local!$U:$U,"2024-25",Weekly_Local!$T:$T,$A95,Weekly_Local!$C:$C,"&lt;&gt;")=0,"",SUMIFS(Weekly_Local!$C:$C,Weekly_Local!$U:$U,"2024-25",Weekly_Local!$T:$T,$A95))</f>
        <v>0</v>
      </c>
      <c r="E95" s="5" t="n">
        <f aca="false">IF(COUNTIFS(Weekly_Local!$U:$U,"2025-26",Weekly_Local!$T:$T,$A95,Weekly_Local!$C:$C,"&lt;&gt;")=0,"",SUMIFS(Weekly_Local!$C:$C,Weekly_Local!$U:$U,"2025-26",Weekly_Local!$T:$T,$A95))</f>
        <v>1</v>
      </c>
      <c r="F95" s="5" t="str">
        <f aca="false">IF(COUNTIFS(Weekly_Local!$U:$U,"2026-27",Weekly_Local!$T:$T,$A95,Weekly_Local!$C:$C,"&lt;&gt;")=0,"",SUMIFS(Weekly_Local!$C:$C,Weekly_Local!$U:$U,"2026-27",Weekly_Local!$T:$T,$A95))</f>
        <v/>
      </c>
      <c r="G95" s="5" t="str">
        <f aca="false">IF(AND($A95=53,DATE(YEAR(Config!$B$3),1,4)-WEEKDAY(DATE(YEAR(Config!$B$3),1,4))+1+364&gt;=DATE(YEAR(Config!$B$3)+1,1,4)-WEEKDAY(DATE(YEAR(Config!$B$3)+1,1,4))+1),"",TEXT(DATE(YEAR(Config!$B$3)+IF($A95&gt;=36,0,1),1,4)-WEEKDAY(DATE(YEAR(Config!$B$3)+IF($A95&gt;=36,0,1),1,4))+1+7*($A95-1)+1,"m/d/yy")&amp;" – "&amp;TEXT(DATE(YEAR(Config!$B$3)+IF($A95&gt;=36,0,1),1,4)-WEEKDAY(DATE(YEAR(Config!$B$3)+IF($A95&gt;=36,0,1),1,4))+1+7*($A95-1)+7,"m/d/yy"))</f>
        <v>4/19/27 – 4/25/27</v>
      </c>
    </row>
    <row r="96" customFormat="false" ht="15" hidden="false" customHeight="false" outlineLevel="0" collapsed="false">
      <c r="A96" s="5" t="n">
        <v>17</v>
      </c>
      <c r="B96" s="5" t="n">
        <f aca="false">IF(COUNTIFS(Weekly_Local!$U:$U,"2022-23",Weekly_Local!$T:$T,$A96,Weekly_Local!$C:$C,"&lt;&gt;")=0,"",SUMIFS(Weekly_Local!$C:$C,Weekly_Local!$U:$U,"2022-23",Weekly_Local!$T:$T,$A96))</f>
        <v>0</v>
      </c>
      <c r="C96" s="5" t="n">
        <f aca="false">IF(COUNTIFS(Weekly_Local!$U:$U,"2023-24",Weekly_Local!$T:$T,$A96,Weekly_Local!$C:$C,"&lt;&gt;")=0,"",SUMIFS(Weekly_Local!$C:$C,Weekly_Local!$U:$U,"2023-24",Weekly_Local!$T:$T,$A96))</f>
        <v>1</v>
      </c>
      <c r="D96" s="5" t="n">
        <f aca="false">IF(COUNTIFS(Weekly_Local!$U:$U,"2024-25",Weekly_Local!$T:$T,$A96,Weekly_Local!$C:$C,"&lt;&gt;")=0,"",SUMIFS(Weekly_Local!$C:$C,Weekly_Local!$U:$U,"2024-25",Weekly_Local!$T:$T,$A96))</f>
        <v>2</v>
      </c>
      <c r="E96" s="5" t="n">
        <f aca="false">IF(COUNTIFS(Weekly_Local!$U:$U,"2025-26",Weekly_Local!$T:$T,$A96,Weekly_Local!$C:$C,"&lt;&gt;")=0,"",SUMIFS(Weekly_Local!$C:$C,Weekly_Local!$U:$U,"2025-26",Weekly_Local!$T:$T,$A96))</f>
        <v>0</v>
      </c>
      <c r="F96" s="5" t="str">
        <f aca="false">IF(COUNTIFS(Weekly_Local!$U:$U,"2026-27",Weekly_Local!$T:$T,$A96,Weekly_Local!$C:$C,"&lt;&gt;")=0,"",SUMIFS(Weekly_Local!$C:$C,Weekly_Local!$U:$U,"2026-27",Weekly_Local!$T:$T,$A96))</f>
        <v/>
      </c>
      <c r="G96" s="5" t="str">
        <f aca="false">IF(AND($A96=53,DATE(YEAR(Config!$B$3),1,4)-WEEKDAY(DATE(YEAR(Config!$B$3),1,4))+1+364&gt;=DATE(YEAR(Config!$B$3)+1,1,4)-WEEKDAY(DATE(YEAR(Config!$B$3)+1,1,4))+1),"",TEXT(DATE(YEAR(Config!$B$3)+IF($A96&gt;=36,0,1),1,4)-WEEKDAY(DATE(YEAR(Config!$B$3)+IF($A96&gt;=36,0,1),1,4))+1+7*($A96-1)+1,"m/d/yy")&amp;" – "&amp;TEXT(DATE(YEAR(Config!$B$3)+IF($A96&gt;=36,0,1),1,4)-WEEKDAY(DATE(YEAR(Config!$B$3)+IF($A96&gt;=36,0,1),1,4))+1+7*($A96-1)+7,"m/d/yy"))</f>
        <v>4/26/27 – 5/2/27</v>
      </c>
    </row>
    <row r="97" customFormat="false" ht="15" hidden="false" customHeight="false" outlineLevel="0" collapsed="false">
      <c r="A97" s="5" t="n">
        <v>18</v>
      </c>
      <c r="B97" s="5" t="n">
        <f aca="false">IF(COUNTIFS(Weekly_Local!$U:$U,"2022-23",Weekly_Local!$T:$T,$A97,Weekly_Local!$C:$C,"&lt;&gt;")=0,"",SUMIFS(Weekly_Local!$C:$C,Weekly_Local!$U:$U,"2022-23",Weekly_Local!$T:$T,$A97))</f>
        <v>0</v>
      </c>
      <c r="C97" s="5" t="n">
        <f aca="false">IF(COUNTIFS(Weekly_Local!$U:$U,"2023-24",Weekly_Local!$T:$T,$A97,Weekly_Local!$C:$C,"&lt;&gt;")=0,"",SUMIFS(Weekly_Local!$C:$C,Weekly_Local!$U:$U,"2023-24",Weekly_Local!$T:$T,$A97))</f>
        <v>1</v>
      </c>
      <c r="D97" s="5" t="n">
        <f aca="false">IF(COUNTIFS(Weekly_Local!$U:$U,"2024-25",Weekly_Local!$T:$T,$A97,Weekly_Local!$C:$C,"&lt;&gt;")=0,"",SUMIFS(Weekly_Local!$C:$C,Weekly_Local!$U:$U,"2024-25",Weekly_Local!$T:$T,$A97))</f>
        <v>0</v>
      </c>
      <c r="E97" s="5" t="n">
        <f aca="false">IF(COUNTIFS(Weekly_Local!$U:$U,"2025-26",Weekly_Local!$T:$T,$A97,Weekly_Local!$C:$C,"&lt;&gt;")=0,"",SUMIFS(Weekly_Local!$C:$C,Weekly_Local!$U:$U,"2025-26",Weekly_Local!$T:$T,$A97))</f>
        <v>0</v>
      </c>
      <c r="F97" s="5" t="str">
        <f aca="false">IF(COUNTIFS(Weekly_Local!$U:$U,"2026-27",Weekly_Local!$T:$T,$A97,Weekly_Local!$C:$C,"&lt;&gt;")=0,"",SUMIFS(Weekly_Local!$C:$C,Weekly_Local!$U:$U,"2026-27",Weekly_Local!$T:$T,$A97))</f>
        <v/>
      </c>
      <c r="G97" s="5" t="str">
        <f aca="false">IF(AND($A97=53,DATE(YEAR(Config!$B$3),1,4)-WEEKDAY(DATE(YEAR(Config!$B$3),1,4))+1+364&gt;=DATE(YEAR(Config!$B$3)+1,1,4)-WEEKDAY(DATE(YEAR(Config!$B$3)+1,1,4))+1),"",TEXT(DATE(YEAR(Config!$B$3)+IF($A97&gt;=36,0,1),1,4)-WEEKDAY(DATE(YEAR(Config!$B$3)+IF($A97&gt;=36,0,1),1,4))+1+7*($A97-1)+1,"m/d/yy")&amp;" – "&amp;TEXT(DATE(YEAR(Config!$B$3)+IF($A97&gt;=36,0,1),1,4)-WEEKDAY(DATE(YEAR(Config!$B$3)+IF($A97&gt;=36,0,1),1,4))+1+7*($A97-1)+7,"m/d/yy"))</f>
        <v>5/3/27 – 5/9/27</v>
      </c>
    </row>
    <row r="98" customFormat="false" ht="15" hidden="false" customHeight="false" outlineLevel="0" collapsed="false">
      <c r="A98" s="5" t="n">
        <v>19</v>
      </c>
      <c r="B98" s="5" t="n">
        <f aca="false">IF(COUNTIFS(Weekly_Local!$U:$U,"2022-23",Weekly_Local!$T:$T,$A98,Weekly_Local!$C:$C,"&lt;&gt;")=0,"",SUMIFS(Weekly_Local!$C:$C,Weekly_Local!$U:$U,"2022-23",Weekly_Local!$T:$T,$A98))</f>
        <v>0</v>
      </c>
      <c r="C98" s="5" t="n">
        <f aca="false">IF(COUNTIFS(Weekly_Local!$U:$U,"2023-24",Weekly_Local!$T:$T,$A98,Weekly_Local!$C:$C,"&lt;&gt;")=0,"",SUMIFS(Weekly_Local!$C:$C,Weekly_Local!$U:$U,"2023-24",Weekly_Local!$T:$T,$A98))</f>
        <v>0</v>
      </c>
      <c r="D98" s="5" t="n">
        <f aca="false">IF(COUNTIFS(Weekly_Local!$U:$U,"2024-25",Weekly_Local!$T:$T,$A98,Weekly_Local!$C:$C,"&lt;&gt;")=0,"",SUMIFS(Weekly_Local!$C:$C,Weekly_Local!$U:$U,"2024-25",Weekly_Local!$T:$T,$A98))</f>
        <v>0</v>
      </c>
      <c r="E98" s="5" t="n">
        <f aca="false">IF(COUNTIFS(Weekly_Local!$U:$U,"2025-26",Weekly_Local!$T:$T,$A98,Weekly_Local!$C:$C,"&lt;&gt;")=0,"",SUMIFS(Weekly_Local!$C:$C,Weekly_Local!$U:$U,"2025-26",Weekly_Local!$T:$T,$A98))</f>
        <v>0</v>
      </c>
      <c r="F98" s="5" t="str">
        <f aca="false">IF(COUNTIFS(Weekly_Local!$U:$U,"2026-27",Weekly_Local!$T:$T,$A98,Weekly_Local!$C:$C,"&lt;&gt;")=0,"",SUMIFS(Weekly_Local!$C:$C,Weekly_Local!$U:$U,"2026-27",Weekly_Local!$T:$T,$A98))</f>
        <v/>
      </c>
      <c r="G98" s="5" t="str">
        <f aca="false">IF(AND($A98=53,DATE(YEAR(Config!$B$3),1,4)-WEEKDAY(DATE(YEAR(Config!$B$3),1,4))+1+364&gt;=DATE(YEAR(Config!$B$3)+1,1,4)-WEEKDAY(DATE(YEAR(Config!$B$3)+1,1,4))+1),"",TEXT(DATE(YEAR(Config!$B$3)+IF($A98&gt;=36,0,1),1,4)-WEEKDAY(DATE(YEAR(Config!$B$3)+IF($A98&gt;=36,0,1),1,4))+1+7*($A98-1)+1,"m/d/yy")&amp;" – "&amp;TEXT(DATE(YEAR(Config!$B$3)+IF($A98&gt;=36,0,1),1,4)-WEEKDAY(DATE(YEAR(Config!$B$3)+IF($A98&gt;=36,0,1),1,4))+1+7*($A98-1)+7,"m/d/yy"))</f>
        <v>5/10/27 – 5/16/27</v>
      </c>
    </row>
    <row r="99" customFormat="false" ht="15" hidden="false" customHeight="false" outlineLevel="0" collapsed="false">
      <c r="A99" s="5" t="n">
        <v>20</v>
      </c>
      <c r="B99" s="5" t="n">
        <f aca="false">IF(COUNTIFS(Weekly_Local!$U:$U,"2022-23",Weekly_Local!$T:$T,$A99,Weekly_Local!$C:$C,"&lt;&gt;")=0,"",SUMIFS(Weekly_Local!$C:$C,Weekly_Local!$U:$U,"2022-23",Weekly_Local!$T:$T,$A99))</f>
        <v>0</v>
      </c>
      <c r="C99" s="5" t="n">
        <f aca="false">IF(COUNTIFS(Weekly_Local!$U:$U,"2023-24",Weekly_Local!$T:$T,$A99,Weekly_Local!$C:$C,"&lt;&gt;")=0,"",SUMIFS(Weekly_Local!$C:$C,Weekly_Local!$U:$U,"2023-24",Weekly_Local!$T:$T,$A99))</f>
        <v>1</v>
      </c>
      <c r="D99" s="5" t="n">
        <f aca="false">IF(COUNTIFS(Weekly_Local!$U:$U,"2024-25",Weekly_Local!$T:$T,$A99,Weekly_Local!$C:$C,"&lt;&gt;")=0,"",SUMIFS(Weekly_Local!$C:$C,Weekly_Local!$U:$U,"2024-25",Weekly_Local!$T:$T,$A99))</f>
        <v>1</v>
      </c>
      <c r="E99" s="5" t="n">
        <f aca="false">IF(COUNTIFS(Weekly_Local!$U:$U,"2025-26",Weekly_Local!$T:$T,$A99,Weekly_Local!$C:$C,"&lt;&gt;")=0,"",SUMIFS(Weekly_Local!$C:$C,Weekly_Local!$U:$U,"2025-26",Weekly_Local!$T:$T,$A99))</f>
        <v>1</v>
      </c>
      <c r="F99" s="5" t="str">
        <f aca="false">IF(COUNTIFS(Weekly_Local!$U:$U,"2026-27",Weekly_Local!$T:$T,$A99,Weekly_Local!$C:$C,"&lt;&gt;")=0,"",SUMIFS(Weekly_Local!$C:$C,Weekly_Local!$U:$U,"2026-27",Weekly_Local!$T:$T,$A99))</f>
        <v/>
      </c>
      <c r="G99" s="5" t="str">
        <f aca="false">IF(AND($A99=53,DATE(YEAR(Config!$B$3),1,4)-WEEKDAY(DATE(YEAR(Config!$B$3),1,4))+1+364&gt;=DATE(YEAR(Config!$B$3)+1,1,4)-WEEKDAY(DATE(YEAR(Config!$B$3)+1,1,4))+1),"",TEXT(DATE(YEAR(Config!$B$3)+IF($A99&gt;=36,0,1),1,4)-WEEKDAY(DATE(YEAR(Config!$B$3)+IF($A99&gt;=36,0,1),1,4))+1+7*($A99-1)+1,"m/d/yy")&amp;" – "&amp;TEXT(DATE(YEAR(Config!$B$3)+IF($A99&gt;=36,0,1),1,4)-WEEKDAY(DATE(YEAR(Config!$B$3)+IF($A99&gt;=36,0,1),1,4))+1+7*($A99-1)+7,"m/d/yy"))</f>
        <v>5/17/27 – 5/23/27</v>
      </c>
    </row>
    <row r="100" customFormat="false" ht="15" hidden="false" customHeight="false" outlineLevel="0" collapsed="false">
      <c r="A100" s="5" t="n">
        <v>21</v>
      </c>
      <c r="B100" s="5" t="n">
        <f aca="false">IF(COUNTIFS(Weekly_Local!$U:$U,"2022-23",Weekly_Local!$T:$T,$A100,Weekly_Local!$C:$C,"&lt;&gt;")=0,"",SUMIFS(Weekly_Local!$C:$C,Weekly_Local!$U:$U,"2022-23",Weekly_Local!$T:$T,$A100))</f>
        <v>0</v>
      </c>
      <c r="C100" s="5" t="n">
        <f aca="false">IF(COUNTIFS(Weekly_Local!$U:$U,"2023-24",Weekly_Local!$T:$T,$A100,Weekly_Local!$C:$C,"&lt;&gt;")=0,"",SUMIFS(Weekly_Local!$C:$C,Weekly_Local!$U:$U,"2023-24",Weekly_Local!$T:$T,$A100))</f>
        <v>1</v>
      </c>
      <c r="D100" s="5" t="n">
        <f aca="false">IF(COUNTIFS(Weekly_Local!$U:$U,"2024-25",Weekly_Local!$T:$T,$A100,Weekly_Local!$C:$C,"&lt;&gt;")=0,"",SUMIFS(Weekly_Local!$C:$C,Weekly_Local!$U:$U,"2024-25",Weekly_Local!$T:$T,$A100))</f>
        <v>1</v>
      </c>
      <c r="E100" s="5" t="n">
        <f aca="false">IF(COUNTIFS(Weekly_Local!$U:$U,"2025-26",Weekly_Local!$T:$T,$A100,Weekly_Local!$C:$C,"&lt;&gt;")=0,"",SUMIFS(Weekly_Local!$C:$C,Weekly_Local!$U:$U,"2025-26",Weekly_Local!$T:$T,$A100))</f>
        <v>2</v>
      </c>
      <c r="F100" s="5" t="str">
        <f aca="false">IF(COUNTIFS(Weekly_Local!$U:$U,"2026-27",Weekly_Local!$T:$T,$A100,Weekly_Local!$C:$C,"&lt;&gt;")=0,"",SUMIFS(Weekly_Local!$C:$C,Weekly_Local!$U:$U,"2026-27",Weekly_Local!$T:$T,$A100))</f>
        <v/>
      </c>
      <c r="G100" s="5" t="str">
        <f aca="false">IF(AND($A100=53,DATE(YEAR(Config!$B$3),1,4)-WEEKDAY(DATE(YEAR(Config!$B$3),1,4))+1+364&gt;=DATE(YEAR(Config!$B$3)+1,1,4)-WEEKDAY(DATE(YEAR(Config!$B$3)+1,1,4))+1),"",TEXT(DATE(YEAR(Config!$B$3)+IF($A100&gt;=36,0,1),1,4)-WEEKDAY(DATE(YEAR(Config!$B$3)+IF($A100&gt;=36,0,1),1,4))+1+7*($A100-1)+1,"m/d/yy")&amp;" – "&amp;TEXT(DATE(YEAR(Config!$B$3)+IF($A100&gt;=36,0,1),1,4)-WEEKDAY(DATE(YEAR(Config!$B$3)+IF($A100&gt;=36,0,1),1,4))+1+7*($A100-1)+7,"m/d/yy"))</f>
        <v>5/24/27 – 5/30/27</v>
      </c>
    </row>
    <row r="101" customFormat="false" ht="15" hidden="false" customHeight="false" outlineLevel="0" collapsed="false">
      <c r="A101" s="5" t="n">
        <v>22</v>
      </c>
      <c r="B101" s="5" t="n">
        <f aca="false">IF(COUNTIFS(Weekly_Local!$U:$U,"2022-23",Weekly_Local!$T:$T,$A101,Weekly_Local!$C:$C,"&lt;&gt;")=0,"",SUMIFS(Weekly_Local!$C:$C,Weekly_Local!$U:$U,"2022-23",Weekly_Local!$T:$T,$A101))</f>
        <v>0</v>
      </c>
      <c r="C101" s="5" t="n">
        <f aca="false">IF(COUNTIFS(Weekly_Local!$U:$U,"2023-24",Weekly_Local!$T:$T,$A101,Weekly_Local!$C:$C,"&lt;&gt;")=0,"",SUMIFS(Weekly_Local!$C:$C,Weekly_Local!$U:$U,"2023-24",Weekly_Local!$T:$T,$A101))</f>
        <v>3</v>
      </c>
      <c r="D101" s="5" t="n">
        <f aca="false">IF(COUNTIFS(Weekly_Local!$U:$U,"2024-25",Weekly_Local!$T:$T,$A101,Weekly_Local!$C:$C,"&lt;&gt;")=0,"",SUMIFS(Weekly_Local!$C:$C,Weekly_Local!$U:$U,"2024-25",Weekly_Local!$T:$T,$A101))</f>
        <v>2</v>
      </c>
      <c r="E101" s="5" t="n">
        <f aca="false">IF(COUNTIFS(Weekly_Local!$U:$U,"2025-26",Weekly_Local!$T:$T,$A101,Weekly_Local!$C:$C,"&lt;&gt;")=0,"",SUMIFS(Weekly_Local!$C:$C,Weekly_Local!$U:$U,"2025-26",Weekly_Local!$T:$T,$A101))</f>
        <v>0</v>
      </c>
      <c r="F101" s="5" t="str">
        <f aca="false">IF(COUNTIFS(Weekly_Local!$U:$U,"2026-27",Weekly_Local!$T:$T,$A101,Weekly_Local!$C:$C,"&lt;&gt;")=0,"",SUMIFS(Weekly_Local!$C:$C,Weekly_Local!$U:$U,"2026-27",Weekly_Local!$T:$T,$A101))</f>
        <v/>
      </c>
      <c r="G101" s="5" t="str">
        <f aca="false">IF(AND($A101=53,DATE(YEAR(Config!$B$3),1,4)-WEEKDAY(DATE(YEAR(Config!$B$3),1,4))+1+364&gt;=DATE(YEAR(Config!$B$3)+1,1,4)-WEEKDAY(DATE(YEAR(Config!$B$3)+1,1,4))+1),"",TEXT(DATE(YEAR(Config!$B$3)+IF($A101&gt;=36,0,1),1,4)-WEEKDAY(DATE(YEAR(Config!$B$3)+IF($A101&gt;=36,0,1),1,4))+1+7*($A101-1)+1,"m/d/yy")&amp;" – "&amp;TEXT(DATE(YEAR(Config!$B$3)+IF($A101&gt;=36,0,1),1,4)-WEEKDAY(DATE(YEAR(Config!$B$3)+IF($A101&gt;=36,0,1),1,4))+1+7*($A101-1)+7,"m/d/yy"))</f>
        <v>5/31/27 – 6/6/27</v>
      </c>
    </row>
    <row r="102" customFormat="false" ht="15" hidden="false" customHeight="false" outlineLevel="0" collapsed="false">
      <c r="A102" s="5" t="n">
        <v>23</v>
      </c>
      <c r="B102" s="5" t="n">
        <f aca="false">IF(COUNTIFS(Weekly_Local!$U:$U,"2022-23",Weekly_Local!$T:$T,$A102,Weekly_Local!$C:$C,"&lt;&gt;")=0,"",SUMIFS(Weekly_Local!$C:$C,Weekly_Local!$U:$U,"2022-23",Weekly_Local!$T:$T,$A102))</f>
        <v>0</v>
      </c>
      <c r="C102" s="5" t="n">
        <f aca="false">IF(COUNTIFS(Weekly_Local!$U:$U,"2023-24",Weekly_Local!$T:$T,$A102,Weekly_Local!$C:$C,"&lt;&gt;")=0,"",SUMIFS(Weekly_Local!$C:$C,Weekly_Local!$U:$U,"2023-24",Weekly_Local!$T:$T,$A102))</f>
        <v>3</v>
      </c>
      <c r="D102" s="5" t="n">
        <f aca="false">IF(COUNTIFS(Weekly_Local!$U:$U,"2024-25",Weekly_Local!$T:$T,$A102,Weekly_Local!$C:$C,"&lt;&gt;")=0,"",SUMIFS(Weekly_Local!$C:$C,Weekly_Local!$U:$U,"2024-25",Weekly_Local!$T:$T,$A102))</f>
        <v>29</v>
      </c>
      <c r="E102" s="5" t="n">
        <f aca="false">IF(COUNTIFS(Weekly_Local!$U:$U,"2025-26",Weekly_Local!$T:$T,$A102,Weekly_Local!$C:$C,"&lt;&gt;")=0,"",SUMIFS(Weekly_Local!$C:$C,Weekly_Local!$U:$U,"2025-26",Weekly_Local!$T:$T,$A102))</f>
        <v>0</v>
      </c>
      <c r="F102" s="5" t="str">
        <f aca="false">IF(COUNTIFS(Weekly_Local!$U:$U,"2026-27",Weekly_Local!$T:$T,$A102,Weekly_Local!$C:$C,"&lt;&gt;")=0,"",SUMIFS(Weekly_Local!$C:$C,Weekly_Local!$U:$U,"2026-27",Weekly_Local!$T:$T,$A102))</f>
        <v/>
      </c>
      <c r="G102" s="5" t="str">
        <f aca="false">IF(AND($A102=53,DATE(YEAR(Config!$B$3),1,4)-WEEKDAY(DATE(YEAR(Config!$B$3),1,4))+1+364&gt;=DATE(YEAR(Config!$B$3)+1,1,4)-WEEKDAY(DATE(YEAR(Config!$B$3)+1,1,4))+1),"",TEXT(DATE(YEAR(Config!$B$3)+IF($A102&gt;=36,0,1),1,4)-WEEKDAY(DATE(YEAR(Config!$B$3)+IF($A102&gt;=36,0,1),1,4))+1+7*($A102-1)+1,"m/d/yy")&amp;" – "&amp;TEXT(DATE(YEAR(Config!$B$3)+IF($A102&gt;=36,0,1),1,4)-WEEKDAY(DATE(YEAR(Config!$B$3)+IF($A102&gt;=36,0,1),1,4))+1+7*($A102-1)+7,"m/d/yy"))</f>
        <v>6/7/27 – 6/13/27</v>
      </c>
    </row>
    <row r="103" customFormat="false" ht="15" hidden="false" customHeight="false" outlineLevel="0" collapsed="false">
      <c r="A103" s="5" t="n">
        <v>24</v>
      </c>
      <c r="B103" s="5" t="n">
        <f aca="false">IF(COUNTIFS(Weekly_Local!$U:$U,"2022-23",Weekly_Local!$T:$T,$A103,Weekly_Local!$C:$C,"&lt;&gt;")=0,"",SUMIFS(Weekly_Local!$C:$C,Weekly_Local!$U:$U,"2022-23",Weekly_Local!$T:$T,$A103))</f>
        <v>0</v>
      </c>
      <c r="C103" s="5" t="n">
        <f aca="false">IF(COUNTIFS(Weekly_Local!$U:$U,"2023-24",Weekly_Local!$T:$T,$A103,Weekly_Local!$C:$C,"&lt;&gt;")=0,"",SUMIFS(Weekly_Local!$C:$C,Weekly_Local!$U:$U,"2023-24",Weekly_Local!$T:$T,$A103))</f>
        <v>0</v>
      </c>
      <c r="D103" s="5" t="n">
        <f aca="false">IF(COUNTIFS(Weekly_Local!$U:$U,"2024-25",Weekly_Local!$T:$T,$A103,Weekly_Local!$C:$C,"&lt;&gt;")=0,"",SUMIFS(Weekly_Local!$C:$C,Weekly_Local!$U:$U,"2024-25",Weekly_Local!$T:$T,$A103))</f>
        <v>26</v>
      </c>
      <c r="E103" s="5" t="n">
        <f aca="false">IF(COUNTIFS(Weekly_Local!$U:$U,"2025-26",Weekly_Local!$T:$T,$A103,Weekly_Local!$C:$C,"&lt;&gt;")=0,"",SUMIFS(Weekly_Local!$C:$C,Weekly_Local!$U:$U,"2025-26",Weekly_Local!$T:$T,$A103))</f>
        <v>6</v>
      </c>
      <c r="F103" s="5" t="str">
        <f aca="false">IF(COUNTIFS(Weekly_Local!$U:$U,"2026-27",Weekly_Local!$T:$T,$A103,Weekly_Local!$C:$C,"&lt;&gt;")=0,"",SUMIFS(Weekly_Local!$C:$C,Weekly_Local!$U:$U,"2026-27",Weekly_Local!$T:$T,$A103))</f>
        <v/>
      </c>
      <c r="G103" s="5" t="str">
        <f aca="false">IF(AND($A103=53,DATE(YEAR(Config!$B$3),1,4)-WEEKDAY(DATE(YEAR(Config!$B$3),1,4))+1+364&gt;=DATE(YEAR(Config!$B$3)+1,1,4)-WEEKDAY(DATE(YEAR(Config!$B$3)+1,1,4))+1),"",TEXT(DATE(YEAR(Config!$B$3)+IF($A103&gt;=36,0,1),1,4)-WEEKDAY(DATE(YEAR(Config!$B$3)+IF($A103&gt;=36,0,1),1,4))+1+7*($A103-1)+1,"m/d/yy")&amp;" – "&amp;TEXT(DATE(YEAR(Config!$B$3)+IF($A103&gt;=36,0,1),1,4)-WEEKDAY(DATE(YEAR(Config!$B$3)+IF($A103&gt;=36,0,1),1,4))+1+7*($A103-1)+7,"m/d/yy"))</f>
        <v>6/14/27 – 6/20/27</v>
      </c>
    </row>
    <row r="104" customFormat="false" ht="15" hidden="false" customHeight="false" outlineLevel="0" collapsed="false">
      <c r="A104" s="5" t="n">
        <v>25</v>
      </c>
      <c r="B104" s="5" t="n">
        <f aca="false">IF(COUNTIFS(Weekly_Local!$U:$U,"2022-23",Weekly_Local!$T:$T,$A104,Weekly_Local!$C:$C,"&lt;&gt;")=0,"",SUMIFS(Weekly_Local!$C:$C,Weekly_Local!$U:$U,"2022-23",Weekly_Local!$T:$T,$A104))</f>
        <v>0</v>
      </c>
      <c r="C104" s="5" t="n">
        <f aca="false">IF(COUNTIFS(Weekly_Local!$U:$U,"2023-24",Weekly_Local!$T:$T,$A104,Weekly_Local!$C:$C,"&lt;&gt;")=0,"",SUMIFS(Weekly_Local!$C:$C,Weekly_Local!$U:$U,"2023-24",Weekly_Local!$T:$T,$A104))</f>
        <v>0</v>
      </c>
      <c r="D104" s="5" t="n">
        <f aca="false">IF(COUNTIFS(Weekly_Local!$U:$U,"2024-25",Weekly_Local!$T:$T,$A104,Weekly_Local!$C:$C,"&lt;&gt;")=0,"",SUMIFS(Weekly_Local!$C:$C,Weekly_Local!$U:$U,"2024-25",Weekly_Local!$T:$T,$A104))</f>
        <v>6</v>
      </c>
      <c r="E104" s="5" t="n">
        <f aca="false">IF(COUNTIFS(Weekly_Local!$U:$U,"2025-26",Weekly_Local!$T:$T,$A104,Weekly_Local!$C:$C,"&lt;&gt;")=0,"",SUMIFS(Weekly_Local!$C:$C,Weekly_Local!$U:$U,"2025-26",Weekly_Local!$T:$T,$A104))</f>
        <v>0</v>
      </c>
      <c r="F104" s="5" t="str">
        <f aca="false">IF(COUNTIFS(Weekly_Local!$U:$U,"2026-27",Weekly_Local!$T:$T,$A104,Weekly_Local!$C:$C,"&lt;&gt;")=0,"",SUMIFS(Weekly_Local!$C:$C,Weekly_Local!$U:$U,"2026-27",Weekly_Local!$T:$T,$A104))</f>
        <v/>
      </c>
      <c r="G104" s="5" t="str">
        <f aca="false">IF(AND($A104=53,DATE(YEAR(Config!$B$3),1,4)-WEEKDAY(DATE(YEAR(Config!$B$3),1,4))+1+364&gt;=DATE(YEAR(Config!$B$3)+1,1,4)-WEEKDAY(DATE(YEAR(Config!$B$3)+1,1,4))+1),"",TEXT(DATE(YEAR(Config!$B$3)+IF($A104&gt;=36,0,1),1,4)-WEEKDAY(DATE(YEAR(Config!$B$3)+IF($A104&gt;=36,0,1),1,4))+1+7*($A104-1)+1,"m/d/yy")&amp;" – "&amp;TEXT(DATE(YEAR(Config!$B$3)+IF($A104&gt;=36,0,1),1,4)-WEEKDAY(DATE(YEAR(Config!$B$3)+IF($A104&gt;=36,0,1),1,4))+1+7*($A104-1)+7,"m/d/yy"))</f>
        <v>6/21/27 – 6/27/27</v>
      </c>
    </row>
    <row r="105" customFormat="false" ht="15" hidden="false" customHeight="false" outlineLevel="0" collapsed="false">
      <c r="A105" s="5" t="n">
        <v>26</v>
      </c>
      <c r="B105" s="5" t="n">
        <f aca="false">IF(COUNTIFS(Weekly_Local!$U:$U,"2022-23",Weekly_Local!$T:$T,$A105,Weekly_Local!$C:$C,"&lt;&gt;")=0,"",SUMIFS(Weekly_Local!$C:$C,Weekly_Local!$U:$U,"2022-23",Weekly_Local!$T:$T,$A105))</f>
        <v>0</v>
      </c>
      <c r="C105" s="5" t="n">
        <f aca="false">IF(COUNTIFS(Weekly_Local!$U:$U,"2023-24",Weekly_Local!$T:$T,$A105,Weekly_Local!$C:$C,"&lt;&gt;")=0,"",SUMIFS(Weekly_Local!$C:$C,Weekly_Local!$U:$U,"2023-24",Weekly_Local!$T:$T,$A105))</f>
        <v>0</v>
      </c>
      <c r="D105" s="5" t="n">
        <f aca="false">IF(COUNTIFS(Weekly_Local!$U:$U,"2024-25",Weekly_Local!$T:$T,$A105,Weekly_Local!$C:$C,"&lt;&gt;")=0,"",SUMIFS(Weekly_Local!$C:$C,Weekly_Local!$U:$U,"2024-25",Weekly_Local!$T:$T,$A105))</f>
        <v>5</v>
      </c>
      <c r="E105" s="5" t="n">
        <f aca="false">IF(COUNTIFS(Weekly_Local!$U:$U,"2025-26",Weekly_Local!$T:$T,$A105,Weekly_Local!$C:$C,"&lt;&gt;")=0,"",SUMIFS(Weekly_Local!$C:$C,Weekly_Local!$U:$U,"2025-26",Weekly_Local!$T:$T,$A105))</f>
        <v>0</v>
      </c>
      <c r="F105" s="5" t="str">
        <f aca="false">IF(COUNTIFS(Weekly_Local!$U:$U,"2026-27",Weekly_Local!$T:$T,$A105,Weekly_Local!$C:$C,"&lt;&gt;")=0,"",SUMIFS(Weekly_Local!$C:$C,Weekly_Local!$U:$U,"2026-27",Weekly_Local!$T:$T,$A105))</f>
        <v/>
      </c>
      <c r="G105" s="5" t="str">
        <f aca="false">IF(AND($A105=53,DATE(YEAR(Config!$B$3),1,4)-WEEKDAY(DATE(YEAR(Config!$B$3),1,4))+1+364&gt;=DATE(YEAR(Config!$B$3)+1,1,4)-WEEKDAY(DATE(YEAR(Config!$B$3)+1,1,4))+1),"",TEXT(DATE(YEAR(Config!$B$3)+IF($A105&gt;=36,0,1),1,4)-WEEKDAY(DATE(YEAR(Config!$B$3)+IF($A105&gt;=36,0,1),1,4))+1+7*($A105-1)+1,"m/d/yy")&amp;" – "&amp;TEXT(DATE(YEAR(Config!$B$3)+IF($A105&gt;=36,0,1),1,4)-WEEKDAY(DATE(YEAR(Config!$B$3)+IF($A105&gt;=36,0,1),1,4))+1+7*($A105-1)+7,"m/d/yy"))</f>
        <v>6/28/27 – 7/4/27</v>
      </c>
    </row>
    <row r="106" customFormat="false" ht="15" hidden="false" customHeight="false" outlineLevel="0" collapsed="false">
      <c r="A106" s="5" t="n">
        <v>27</v>
      </c>
      <c r="B106" s="5" t="n">
        <f aca="false">IF(COUNTIFS(Weekly_Local!$U:$U,"2022-23",Weekly_Local!$T:$T,$A106,Weekly_Local!$C:$C,"&lt;&gt;")=0,"",SUMIFS(Weekly_Local!$C:$C,Weekly_Local!$U:$U,"2022-23",Weekly_Local!$T:$T,$A106))</f>
        <v>0</v>
      </c>
      <c r="C106" s="5" t="n">
        <f aca="false">IF(COUNTIFS(Weekly_Local!$U:$U,"2023-24",Weekly_Local!$T:$T,$A106,Weekly_Local!$C:$C,"&lt;&gt;")=0,"",SUMIFS(Weekly_Local!$C:$C,Weekly_Local!$U:$U,"2023-24",Weekly_Local!$T:$T,$A106))</f>
        <v>0</v>
      </c>
      <c r="D106" s="5" t="n">
        <f aca="false">IF(COUNTIFS(Weekly_Local!$U:$U,"2024-25",Weekly_Local!$T:$T,$A106,Weekly_Local!$C:$C,"&lt;&gt;")=0,"",SUMIFS(Weekly_Local!$C:$C,Weekly_Local!$U:$U,"2024-25",Weekly_Local!$T:$T,$A106))</f>
        <v>0</v>
      </c>
      <c r="E106" s="5" t="n">
        <f aca="false">IF(COUNTIFS(Weekly_Local!$U:$U,"2025-26",Weekly_Local!$T:$T,$A106,Weekly_Local!$C:$C,"&lt;&gt;")=0,"",SUMIFS(Weekly_Local!$C:$C,Weekly_Local!$U:$U,"2025-26",Weekly_Local!$T:$T,$A106))</f>
        <v>0</v>
      </c>
      <c r="F106" s="5" t="str">
        <f aca="false">IF(COUNTIFS(Weekly_Local!$U:$U,"2026-27",Weekly_Local!$T:$T,$A106,Weekly_Local!$C:$C,"&lt;&gt;")=0,"",SUMIFS(Weekly_Local!$C:$C,Weekly_Local!$U:$U,"2026-27",Weekly_Local!$T:$T,$A106))</f>
        <v/>
      </c>
      <c r="G106" s="5" t="str">
        <f aca="false">IF(AND($A106=53,DATE(YEAR(Config!$B$3),1,4)-WEEKDAY(DATE(YEAR(Config!$B$3),1,4))+1+364&gt;=DATE(YEAR(Config!$B$3)+1,1,4)-WEEKDAY(DATE(YEAR(Config!$B$3)+1,1,4))+1),"",TEXT(DATE(YEAR(Config!$B$3)+IF($A106&gt;=36,0,1),1,4)-WEEKDAY(DATE(YEAR(Config!$B$3)+IF($A106&gt;=36,0,1),1,4))+1+7*($A106-1)+1,"m/d/yy")&amp;" – "&amp;TEXT(DATE(YEAR(Config!$B$3)+IF($A106&gt;=36,0,1),1,4)-WEEKDAY(DATE(YEAR(Config!$B$3)+IF($A106&gt;=36,0,1),1,4))+1+7*($A106-1)+7,"m/d/yy"))</f>
        <v>7/5/27 – 7/11/27</v>
      </c>
    </row>
    <row r="107" customFormat="false" ht="15" hidden="false" customHeight="false" outlineLevel="0" collapsed="false">
      <c r="A107" s="5" t="n">
        <v>28</v>
      </c>
      <c r="B107" s="5" t="n">
        <f aca="false">IF(COUNTIFS(Weekly_Local!$U:$U,"2022-23",Weekly_Local!$T:$T,$A107,Weekly_Local!$C:$C,"&lt;&gt;")=0,"",SUMIFS(Weekly_Local!$C:$C,Weekly_Local!$U:$U,"2022-23",Weekly_Local!$T:$T,$A107))</f>
        <v>0</v>
      </c>
      <c r="C107" s="5" t="n">
        <f aca="false">IF(COUNTIFS(Weekly_Local!$U:$U,"2023-24",Weekly_Local!$T:$T,$A107,Weekly_Local!$C:$C,"&lt;&gt;")=0,"",SUMIFS(Weekly_Local!$C:$C,Weekly_Local!$U:$U,"2023-24",Weekly_Local!$T:$T,$A107))</f>
        <v>1</v>
      </c>
      <c r="D107" s="5" t="n">
        <f aca="false">IF(COUNTIFS(Weekly_Local!$U:$U,"2024-25",Weekly_Local!$T:$T,$A107,Weekly_Local!$C:$C,"&lt;&gt;")=0,"",SUMIFS(Weekly_Local!$C:$C,Weekly_Local!$U:$U,"2024-25",Weekly_Local!$T:$T,$A107))</f>
        <v>0</v>
      </c>
      <c r="E107" s="5" t="n">
        <f aca="false">IF(COUNTIFS(Weekly_Local!$U:$U,"2025-26",Weekly_Local!$T:$T,$A107,Weekly_Local!$C:$C,"&lt;&gt;")=0,"",SUMIFS(Weekly_Local!$C:$C,Weekly_Local!$U:$U,"2025-26",Weekly_Local!$T:$T,$A107))</f>
        <v>0</v>
      </c>
      <c r="F107" s="5" t="str">
        <f aca="false">IF(COUNTIFS(Weekly_Local!$U:$U,"2026-27",Weekly_Local!$T:$T,$A107,Weekly_Local!$C:$C,"&lt;&gt;")=0,"",SUMIFS(Weekly_Local!$C:$C,Weekly_Local!$U:$U,"2026-27",Weekly_Local!$T:$T,$A107))</f>
        <v/>
      </c>
      <c r="G107" s="5" t="str">
        <f aca="false">IF(AND($A107=53,DATE(YEAR(Config!$B$3),1,4)-WEEKDAY(DATE(YEAR(Config!$B$3),1,4))+1+364&gt;=DATE(YEAR(Config!$B$3)+1,1,4)-WEEKDAY(DATE(YEAR(Config!$B$3)+1,1,4))+1),"",TEXT(DATE(YEAR(Config!$B$3)+IF($A107&gt;=36,0,1),1,4)-WEEKDAY(DATE(YEAR(Config!$B$3)+IF($A107&gt;=36,0,1),1,4))+1+7*($A107-1)+1,"m/d/yy")&amp;" – "&amp;TEXT(DATE(YEAR(Config!$B$3)+IF($A107&gt;=36,0,1),1,4)-WEEKDAY(DATE(YEAR(Config!$B$3)+IF($A107&gt;=36,0,1),1,4))+1+7*($A107-1)+7,"m/d/yy"))</f>
        <v>7/12/27 – 7/18/27</v>
      </c>
    </row>
    <row r="108" customFormat="false" ht="15" hidden="false" customHeight="false" outlineLevel="0" collapsed="false">
      <c r="A108" s="5" t="n">
        <v>29</v>
      </c>
      <c r="B108" s="5" t="n">
        <f aca="false">IF(COUNTIFS(Weekly_Local!$U:$U,"2022-23",Weekly_Local!$T:$T,$A108,Weekly_Local!$C:$C,"&lt;&gt;")=0,"",SUMIFS(Weekly_Local!$C:$C,Weekly_Local!$U:$U,"2022-23",Weekly_Local!$T:$T,$A108))</f>
        <v>0</v>
      </c>
      <c r="C108" s="5" t="n">
        <f aca="false">IF(COUNTIFS(Weekly_Local!$U:$U,"2023-24",Weekly_Local!$T:$T,$A108,Weekly_Local!$C:$C,"&lt;&gt;")=0,"",SUMIFS(Weekly_Local!$C:$C,Weekly_Local!$U:$U,"2023-24",Weekly_Local!$T:$T,$A108))</f>
        <v>0</v>
      </c>
      <c r="D108" s="5" t="n">
        <f aca="false">IF(COUNTIFS(Weekly_Local!$U:$U,"2024-25",Weekly_Local!$T:$T,$A108,Weekly_Local!$C:$C,"&lt;&gt;")=0,"",SUMIFS(Weekly_Local!$C:$C,Weekly_Local!$U:$U,"2024-25",Weekly_Local!$T:$T,$A108))</f>
        <v>0</v>
      </c>
      <c r="E108" s="5" t="n">
        <f aca="false">IF(COUNTIFS(Weekly_Local!$U:$U,"2025-26",Weekly_Local!$T:$T,$A108,Weekly_Local!$C:$C,"&lt;&gt;")=0,"",SUMIFS(Weekly_Local!$C:$C,Weekly_Local!$U:$U,"2025-26",Weekly_Local!$T:$T,$A108))</f>
        <v>0</v>
      </c>
      <c r="F108" s="5" t="str">
        <f aca="false">IF(COUNTIFS(Weekly_Local!$U:$U,"2026-27",Weekly_Local!$T:$T,$A108,Weekly_Local!$C:$C,"&lt;&gt;")=0,"",SUMIFS(Weekly_Local!$C:$C,Weekly_Local!$U:$U,"2026-27",Weekly_Local!$T:$T,$A108))</f>
        <v/>
      </c>
      <c r="G108" s="5" t="str">
        <f aca="false">IF(AND($A108=53,DATE(YEAR(Config!$B$3),1,4)-WEEKDAY(DATE(YEAR(Config!$B$3),1,4))+1+364&gt;=DATE(YEAR(Config!$B$3)+1,1,4)-WEEKDAY(DATE(YEAR(Config!$B$3)+1,1,4))+1),"",TEXT(DATE(YEAR(Config!$B$3)+IF($A108&gt;=36,0,1),1,4)-WEEKDAY(DATE(YEAR(Config!$B$3)+IF($A108&gt;=36,0,1),1,4))+1+7*($A108-1)+1,"m/d/yy")&amp;" – "&amp;TEXT(DATE(YEAR(Config!$B$3)+IF($A108&gt;=36,0,1),1,4)-WEEKDAY(DATE(YEAR(Config!$B$3)+IF($A108&gt;=36,0,1),1,4))+1+7*($A108-1)+7,"m/d/yy"))</f>
        <v>7/19/27 – 7/25/27</v>
      </c>
    </row>
    <row r="109" customFormat="false" ht="15" hidden="false" customHeight="false" outlineLevel="0" collapsed="false">
      <c r="A109" s="5" t="n">
        <v>30</v>
      </c>
      <c r="B109" s="5" t="n">
        <f aca="false">IF(COUNTIFS(Weekly_Local!$U:$U,"2022-23",Weekly_Local!$T:$T,$A109,Weekly_Local!$C:$C,"&lt;&gt;")=0,"",SUMIFS(Weekly_Local!$C:$C,Weekly_Local!$U:$U,"2022-23",Weekly_Local!$T:$T,$A109))</f>
        <v>0</v>
      </c>
      <c r="C109" s="5" t="n">
        <f aca="false">IF(COUNTIFS(Weekly_Local!$U:$U,"2023-24",Weekly_Local!$T:$T,$A109,Weekly_Local!$C:$C,"&lt;&gt;")=0,"",SUMIFS(Weekly_Local!$C:$C,Weekly_Local!$U:$U,"2023-24",Weekly_Local!$T:$T,$A109))</f>
        <v>0</v>
      </c>
      <c r="D109" s="5" t="n">
        <f aca="false">IF(COUNTIFS(Weekly_Local!$U:$U,"2024-25",Weekly_Local!$T:$T,$A109,Weekly_Local!$C:$C,"&lt;&gt;")=0,"",SUMIFS(Weekly_Local!$C:$C,Weekly_Local!$U:$U,"2024-25",Weekly_Local!$T:$T,$A109))</f>
        <v>0</v>
      </c>
      <c r="E109" s="5" t="n">
        <f aca="false">IF(COUNTIFS(Weekly_Local!$U:$U,"2025-26",Weekly_Local!$T:$T,$A109,Weekly_Local!$C:$C,"&lt;&gt;")=0,"",SUMIFS(Weekly_Local!$C:$C,Weekly_Local!$U:$U,"2025-26",Weekly_Local!$T:$T,$A109))</f>
        <v>0</v>
      </c>
      <c r="F109" s="5" t="str">
        <f aca="false">IF(COUNTIFS(Weekly_Local!$U:$U,"2026-27",Weekly_Local!$T:$T,$A109,Weekly_Local!$C:$C,"&lt;&gt;")=0,"",SUMIFS(Weekly_Local!$C:$C,Weekly_Local!$U:$U,"2026-27",Weekly_Local!$T:$T,$A109))</f>
        <v/>
      </c>
      <c r="G109" s="5" t="str">
        <f aca="false">IF(AND($A109=53,DATE(YEAR(Config!$B$3),1,4)-WEEKDAY(DATE(YEAR(Config!$B$3),1,4))+1+364&gt;=DATE(YEAR(Config!$B$3)+1,1,4)-WEEKDAY(DATE(YEAR(Config!$B$3)+1,1,4))+1),"",TEXT(DATE(YEAR(Config!$B$3)+IF($A109&gt;=36,0,1),1,4)-WEEKDAY(DATE(YEAR(Config!$B$3)+IF($A109&gt;=36,0,1),1,4))+1+7*($A109-1)+1,"m/d/yy")&amp;" – "&amp;TEXT(DATE(YEAR(Config!$B$3)+IF($A109&gt;=36,0,1),1,4)-WEEKDAY(DATE(YEAR(Config!$B$3)+IF($A109&gt;=36,0,1),1,4))+1+7*($A109-1)+7,"m/d/yy"))</f>
        <v>7/26/27 – 8/1/27</v>
      </c>
    </row>
    <row r="110" customFormat="false" ht="15" hidden="false" customHeight="false" outlineLevel="0" collapsed="false">
      <c r="A110" s="5" t="n">
        <v>31</v>
      </c>
      <c r="B110" s="5" t="n">
        <f aca="false">IF(COUNTIFS(Weekly_Local!$U:$U,"2022-23",Weekly_Local!$T:$T,$A110,Weekly_Local!$C:$C,"&lt;&gt;")=0,"",SUMIFS(Weekly_Local!$C:$C,Weekly_Local!$U:$U,"2022-23",Weekly_Local!$T:$T,$A110))</f>
        <v>0</v>
      </c>
      <c r="C110" s="5" t="n">
        <f aca="false">IF(COUNTIFS(Weekly_Local!$U:$U,"2023-24",Weekly_Local!$T:$T,$A110,Weekly_Local!$C:$C,"&lt;&gt;")=0,"",SUMIFS(Weekly_Local!$C:$C,Weekly_Local!$U:$U,"2023-24",Weekly_Local!$T:$T,$A110))</f>
        <v>0</v>
      </c>
      <c r="D110" s="5" t="n">
        <f aca="false">IF(COUNTIFS(Weekly_Local!$U:$U,"2024-25",Weekly_Local!$T:$T,$A110,Weekly_Local!$C:$C,"&lt;&gt;")=0,"",SUMIFS(Weekly_Local!$C:$C,Weekly_Local!$U:$U,"2024-25",Weekly_Local!$T:$T,$A110))</f>
        <v>0</v>
      </c>
      <c r="E110" s="5" t="n">
        <f aca="false">IF(COUNTIFS(Weekly_Local!$U:$U,"2025-26",Weekly_Local!$T:$T,$A110,Weekly_Local!$C:$C,"&lt;&gt;")=0,"",SUMIFS(Weekly_Local!$C:$C,Weekly_Local!$U:$U,"2025-26",Weekly_Local!$T:$T,$A110))</f>
        <v>0</v>
      </c>
      <c r="F110" s="5" t="str">
        <f aca="false">IF(COUNTIFS(Weekly_Local!$U:$U,"2026-27",Weekly_Local!$T:$T,$A110,Weekly_Local!$C:$C,"&lt;&gt;")=0,"",SUMIFS(Weekly_Local!$C:$C,Weekly_Local!$U:$U,"2026-27",Weekly_Local!$T:$T,$A110))</f>
        <v/>
      </c>
      <c r="G110" s="5" t="str">
        <f aca="false">IF(AND($A110=53,DATE(YEAR(Config!$B$3),1,4)-WEEKDAY(DATE(YEAR(Config!$B$3),1,4))+1+364&gt;=DATE(YEAR(Config!$B$3)+1,1,4)-WEEKDAY(DATE(YEAR(Config!$B$3)+1,1,4))+1),"",TEXT(DATE(YEAR(Config!$B$3)+IF($A110&gt;=36,0,1),1,4)-WEEKDAY(DATE(YEAR(Config!$B$3)+IF($A110&gt;=36,0,1),1,4))+1+7*($A110-1)+1,"m/d/yy")&amp;" – "&amp;TEXT(DATE(YEAR(Config!$B$3)+IF($A110&gt;=36,0,1),1,4)-WEEKDAY(DATE(YEAR(Config!$B$3)+IF($A110&gt;=36,0,1),1,4))+1+7*($A110-1)+7,"m/d/yy"))</f>
        <v>8/2/27 – 8/8/27</v>
      </c>
    </row>
    <row r="111" customFormat="false" ht="15" hidden="false" customHeight="false" outlineLevel="0" collapsed="false">
      <c r="A111" s="5" t="n">
        <v>32</v>
      </c>
      <c r="B111" s="5" t="n">
        <f aca="false">IF(COUNTIFS(Weekly_Local!$U:$U,"2022-23",Weekly_Local!$T:$T,$A111,Weekly_Local!$C:$C,"&lt;&gt;")=0,"",SUMIFS(Weekly_Local!$C:$C,Weekly_Local!$U:$U,"2022-23",Weekly_Local!$T:$T,$A111))</f>
        <v>0</v>
      </c>
      <c r="C111" s="5" t="n">
        <f aca="false">IF(COUNTIFS(Weekly_Local!$U:$U,"2023-24",Weekly_Local!$T:$T,$A111,Weekly_Local!$C:$C,"&lt;&gt;")=0,"",SUMIFS(Weekly_Local!$C:$C,Weekly_Local!$U:$U,"2023-24",Weekly_Local!$T:$T,$A111))</f>
        <v>0</v>
      </c>
      <c r="D111" s="5" t="n">
        <f aca="false">IF(COUNTIFS(Weekly_Local!$U:$U,"2024-25",Weekly_Local!$T:$T,$A111,Weekly_Local!$C:$C,"&lt;&gt;")=0,"",SUMIFS(Weekly_Local!$C:$C,Weekly_Local!$U:$U,"2024-25",Weekly_Local!$T:$T,$A111))</f>
        <v>1</v>
      </c>
      <c r="E111" s="5" t="n">
        <f aca="false">IF(COUNTIFS(Weekly_Local!$U:$U,"2025-26",Weekly_Local!$T:$T,$A111,Weekly_Local!$C:$C,"&lt;&gt;")=0,"",SUMIFS(Weekly_Local!$C:$C,Weekly_Local!$U:$U,"2025-26",Weekly_Local!$T:$T,$A111))</f>
        <v>0</v>
      </c>
      <c r="F111" s="5" t="str">
        <f aca="false">IF(COUNTIFS(Weekly_Local!$U:$U,"2026-27",Weekly_Local!$T:$T,$A111,Weekly_Local!$C:$C,"&lt;&gt;")=0,"",SUMIFS(Weekly_Local!$C:$C,Weekly_Local!$U:$U,"2026-27",Weekly_Local!$T:$T,$A111))</f>
        <v/>
      </c>
      <c r="G111" s="5" t="str">
        <f aca="false">IF(AND($A111=53,DATE(YEAR(Config!$B$3),1,4)-WEEKDAY(DATE(YEAR(Config!$B$3),1,4))+1+364&gt;=DATE(YEAR(Config!$B$3)+1,1,4)-WEEKDAY(DATE(YEAR(Config!$B$3)+1,1,4))+1),"",TEXT(DATE(YEAR(Config!$B$3)+IF($A111&gt;=36,0,1),1,4)-WEEKDAY(DATE(YEAR(Config!$B$3)+IF($A111&gt;=36,0,1),1,4))+1+7*($A111-1)+1,"m/d/yy")&amp;" – "&amp;TEXT(DATE(YEAR(Config!$B$3)+IF($A111&gt;=36,0,1),1,4)-WEEKDAY(DATE(YEAR(Config!$B$3)+IF($A111&gt;=36,0,1),1,4))+1+7*($A111-1)+7,"m/d/yy"))</f>
        <v>8/9/27 – 8/15/27</v>
      </c>
    </row>
    <row r="112" customFormat="false" ht="15" hidden="false" customHeight="false" outlineLevel="0" collapsed="false">
      <c r="A112" s="5" t="n">
        <v>33</v>
      </c>
      <c r="B112" s="5" t="n">
        <f aca="false">IF(COUNTIFS(Weekly_Local!$U:$U,"2022-23",Weekly_Local!$T:$T,$A112,Weekly_Local!$C:$C,"&lt;&gt;")=0,"",SUMIFS(Weekly_Local!$C:$C,Weekly_Local!$U:$U,"2022-23",Weekly_Local!$T:$T,$A112))</f>
        <v>0</v>
      </c>
      <c r="C112" s="5" t="n">
        <f aca="false">IF(COUNTIFS(Weekly_Local!$U:$U,"2023-24",Weekly_Local!$T:$T,$A112,Weekly_Local!$C:$C,"&lt;&gt;")=0,"",SUMIFS(Weekly_Local!$C:$C,Weekly_Local!$U:$U,"2023-24",Weekly_Local!$T:$T,$A112))</f>
        <v>0</v>
      </c>
      <c r="D112" s="5" t="n">
        <f aca="false">IF(COUNTIFS(Weekly_Local!$U:$U,"2024-25",Weekly_Local!$T:$T,$A112,Weekly_Local!$C:$C,"&lt;&gt;")=0,"",SUMIFS(Weekly_Local!$C:$C,Weekly_Local!$U:$U,"2024-25",Weekly_Local!$T:$T,$A112))</f>
        <v>0</v>
      </c>
      <c r="E112" s="5" t="n">
        <f aca="false">IF(COUNTIFS(Weekly_Local!$U:$U,"2025-26",Weekly_Local!$T:$T,$A112,Weekly_Local!$C:$C,"&lt;&gt;")=0,"",SUMIFS(Weekly_Local!$C:$C,Weekly_Local!$U:$U,"2025-26",Weekly_Local!$T:$T,$A112))</f>
        <v>0</v>
      </c>
      <c r="F112" s="5" t="str">
        <f aca="false">IF(COUNTIFS(Weekly_Local!$U:$U,"2026-27",Weekly_Local!$T:$T,$A112,Weekly_Local!$C:$C,"&lt;&gt;")=0,"",SUMIFS(Weekly_Local!$C:$C,Weekly_Local!$U:$U,"2026-27",Weekly_Local!$T:$T,$A112))</f>
        <v/>
      </c>
      <c r="G112" s="5" t="str">
        <f aca="false">IF(AND($A112=53,DATE(YEAR(Config!$B$3),1,4)-WEEKDAY(DATE(YEAR(Config!$B$3),1,4))+1+364&gt;=DATE(YEAR(Config!$B$3)+1,1,4)-WEEKDAY(DATE(YEAR(Config!$B$3)+1,1,4))+1),"",TEXT(DATE(YEAR(Config!$B$3)+IF($A112&gt;=36,0,1),1,4)-WEEKDAY(DATE(YEAR(Config!$B$3)+IF($A112&gt;=36,0,1),1,4))+1+7*($A112-1)+1,"m/d/yy")&amp;" – "&amp;TEXT(DATE(YEAR(Config!$B$3)+IF($A112&gt;=36,0,1),1,4)-WEEKDAY(DATE(YEAR(Config!$B$3)+IF($A112&gt;=36,0,1),1,4))+1+7*($A112-1)+7,"m/d/yy"))</f>
        <v>8/16/27 – 8/22/27</v>
      </c>
    </row>
    <row r="113" customFormat="false" ht="15" hidden="false" customHeight="false" outlineLevel="0" collapsed="false">
      <c r="A113" s="5" t="n">
        <v>34</v>
      </c>
      <c r="B113" s="5" t="n">
        <f aca="false">IF(COUNTIFS(Weekly_Local!$U:$U,"2022-23",Weekly_Local!$T:$T,$A113,Weekly_Local!$C:$C,"&lt;&gt;")=0,"",SUMIFS(Weekly_Local!$C:$C,Weekly_Local!$U:$U,"2022-23",Weekly_Local!$T:$T,$A113))</f>
        <v>0</v>
      </c>
      <c r="C113" s="5" t="n">
        <f aca="false">IF(COUNTIFS(Weekly_Local!$U:$U,"2023-24",Weekly_Local!$T:$T,$A113,Weekly_Local!$C:$C,"&lt;&gt;")=0,"",SUMIFS(Weekly_Local!$C:$C,Weekly_Local!$U:$U,"2023-24",Weekly_Local!$T:$T,$A113))</f>
        <v>0</v>
      </c>
      <c r="D113" s="5" t="n">
        <f aca="false">IF(COUNTIFS(Weekly_Local!$U:$U,"2024-25",Weekly_Local!$T:$T,$A113,Weekly_Local!$C:$C,"&lt;&gt;")=0,"",SUMIFS(Weekly_Local!$C:$C,Weekly_Local!$U:$U,"2024-25",Weekly_Local!$T:$T,$A113))</f>
        <v>0</v>
      </c>
      <c r="E113" s="5" t="n">
        <f aca="false">IF(COUNTIFS(Weekly_Local!$U:$U,"2025-26",Weekly_Local!$T:$T,$A113,Weekly_Local!$C:$C,"&lt;&gt;")=0,"",SUMIFS(Weekly_Local!$C:$C,Weekly_Local!$U:$U,"2025-26",Weekly_Local!$T:$T,$A113))</f>
        <v>1</v>
      </c>
      <c r="F113" s="5" t="str">
        <f aca="false">IF(COUNTIFS(Weekly_Local!$U:$U,"2026-27",Weekly_Local!$T:$T,$A113,Weekly_Local!$C:$C,"&lt;&gt;")=0,"",SUMIFS(Weekly_Local!$C:$C,Weekly_Local!$U:$U,"2026-27",Weekly_Local!$T:$T,$A113))</f>
        <v/>
      </c>
      <c r="G113" s="5" t="str">
        <f aca="false">IF(AND($A113=53,DATE(YEAR(Config!$B$3),1,4)-WEEKDAY(DATE(YEAR(Config!$B$3),1,4))+1+364&gt;=DATE(YEAR(Config!$B$3)+1,1,4)-WEEKDAY(DATE(YEAR(Config!$B$3)+1,1,4))+1),"",TEXT(DATE(YEAR(Config!$B$3)+IF($A113&gt;=36,0,1),1,4)-WEEKDAY(DATE(YEAR(Config!$B$3)+IF($A113&gt;=36,0,1),1,4))+1+7*($A113-1)+1,"m/d/yy")&amp;" – "&amp;TEXT(DATE(YEAR(Config!$B$3)+IF($A113&gt;=36,0,1),1,4)-WEEKDAY(DATE(YEAR(Config!$B$3)+IF($A113&gt;=36,0,1),1,4))+1+7*($A113-1)+7,"m/d/yy"))</f>
        <v>8/23/27 – 8/29/27</v>
      </c>
    </row>
    <row r="114" customFormat="false" ht="15" hidden="false" customHeight="false" outlineLevel="0" collapsed="false">
      <c r="A114" s="5" t="n">
        <v>35</v>
      </c>
      <c r="B114" s="5" t="n">
        <f aca="false">IF(COUNTIFS(Weekly_Local!$U:$U,"2022-23",Weekly_Local!$T:$T,$A114,Weekly_Local!$C:$C,"&lt;&gt;")=0,"",SUMIFS(Weekly_Local!$C:$C,Weekly_Local!$U:$U,"2022-23",Weekly_Local!$T:$T,$A114))</f>
        <v>0</v>
      </c>
      <c r="C114" s="5" t="n">
        <f aca="false">IF(COUNTIFS(Weekly_Local!$U:$U,"2023-24",Weekly_Local!$T:$T,$A114,Weekly_Local!$C:$C,"&lt;&gt;")=0,"",SUMIFS(Weekly_Local!$C:$C,Weekly_Local!$U:$U,"2023-24",Weekly_Local!$T:$T,$A114))</f>
        <v>0</v>
      </c>
      <c r="D114" s="5" t="n">
        <f aca="false">IF(COUNTIFS(Weekly_Local!$U:$U,"2024-25",Weekly_Local!$T:$T,$A114,Weekly_Local!$C:$C,"&lt;&gt;")=0,"",SUMIFS(Weekly_Local!$C:$C,Weekly_Local!$U:$U,"2024-25",Weekly_Local!$T:$T,$A114))</f>
        <v>0</v>
      </c>
      <c r="E114" s="5" t="n">
        <f aca="false">IF(COUNTIFS(Weekly_Local!$U:$U,"2025-26",Weekly_Local!$T:$T,$A114,Weekly_Local!$C:$C,"&lt;&gt;")=0,"",SUMIFS(Weekly_Local!$C:$C,Weekly_Local!$U:$U,"2025-26",Weekly_Local!$T:$T,$A114))</f>
        <v>0</v>
      </c>
      <c r="F114" s="5" t="str">
        <f aca="false">IF(COUNTIFS(Weekly_Local!$U:$U,"2026-27",Weekly_Local!$T:$T,$A114,Weekly_Local!$C:$C,"&lt;&gt;")=0,"",SUMIFS(Weekly_Local!$C:$C,Weekly_Local!$U:$U,"2026-27",Weekly_Local!$T:$T,$A114))</f>
        <v/>
      </c>
      <c r="G114" s="5" t="str">
        <f aca="false">IF(AND($A114=53,DATE(YEAR(Config!$B$3),1,4)-WEEKDAY(DATE(YEAR(Config!$B$3),1,4))+1+364&gt;=DATE(YEAR(Config!$B$3)+1,1,4)-WEEKDAY(DATE(YEAR(Config!$B$3)+1,1,4))+1),"",TEXT(DATE(YEAR(Config!$B$3)+IF($A114&gt;=36,0,1),1,4)-WEEKDAY(DATE(YEAR(Config!$B$3)+IF($A114&gt;=36,0,1),1,4))+1+7*($A114-1)+1,"m/d/yy")&amp;" – "&amp;TEXT(DATE(YEAR(Config!$B$3)+IF($A114&gt;=36,0,1),1,4)-WEEKDAY(DATE(YEAR(Config!$B$3)+IF($A114&gt;=36,0,1),1,4))+1+7*($A114-1)+7,"m/d/yy"))</f>
        <v>8/30/27 – 9/5/27</v>
      </c>
    </row>
    <row r="117" customFormat="false" ht="15" hidden="false" customHeight="false" outlineLevel="0" collapsed="false">
      <c r="A117" s="13" t="s">
        <v>80</v>
      </c>
    </row>
    <row r="118" customFormat="false" ht="31.5" hidden="false" customHeight="true" outlineLevel="0" collapsed="false">
      <c r="A118" s="4" t="s">
        <v>57</v>
      </c>
      <c r="B118" s="4" t="s">
        <v>74</v>
      </c>
      <c r="C118" s="4" t="s">
        <v>75</v>
      </c>
      <c r="D118" s="4" t="s">
        <v>76</v>
      </c>
      <c r="E118" s="4" t="s">
        <v>77</v>
      </c>
      <c r="F118" s="4" t="s">
        <v>23</v>
      </c>
      <c r="G118" s="4" t="s">
        <v>78</v>
      </c>
    </row>
    <row r="119" customFormat="false" ht="15" hidden="false" customHeight="false" outlineLevel="0" collapsed="false">
      <c r="A119" s="5" t="n">
        <v>36</v>
      </c>
      <c r="B119" s="5" t="str">
        <f aca="false">IF(COUNTIFS(Weekly_Local!$U:$U,"2022-23",Weekly_Local!$T:$T,$A119,Weekly_Local!$D:$D,"&lt;&gt;")=0,"",SUMIFS(Weekly_Local!$D:$D,Weekly_Local!$U:$U,"2022-23",Weekly_Local!$T:$T,$A119))</f>
        <v/>
      </c>
      <c r="C119" s="5" t="n">
        <f aca="false">IF(COUNTIFS(Weekly_Local!$U:$U,"2023-24",Weekly_Local!$T:$T,$A119,Weekly_Local!$D:$D,"&lt;&gt;")=0,"",SUMIFS(Weekly_Local!$D:$D,Weekly_Local!$U:$U,"2023-24",Weekly_Local!$T:$T,$A119))</f>
        <v>0</v>
      </c>
      <c r="D119" s="5" t="n">
        <f aca="false">IF(COUNTIFS(Weekly_Local!$U:$U,"2024-25",Weekly_Local!$T:$T,$A119,Weekly_Local!$D:$D,"&lt;&gt;")=0,"",SUMIFS(Weekly_Local!$D:$D,Weekly_Local!$U:$U,"2024-25",Weekly_Local!$T:$T,$A119))</f>
        <v>0</v>
      </c>
      <c r="E119" s="5" t="n">
        <f aca="false">IF(COUNTIFS(Weekly_Local!$U:$U,"2025-26",Weekly_Local!$T:$T,$A119,Weekly_Local!$D:$D,"&lt;&gt;")=0,"",SUMIFS(Weekly_Local!$D:$D,Weekly_Local!$U:$U,"2025-26",Weekly_Local!$T:$T,$A119))</f>
        <v>0</v>
      </c>
      <c r="F119" s="5" t="n">
        <v>0</v>
      </c>
      <c r="G119" s="5" t="str">
        <f aca="false">IF(AND($A119=53,DATE(YEAR(Config!$B$3),1,4)-WEEKDAY(DATE(YEAR(Config!$B$3),1,4))+1+364&gt;=DATE(YEAR(Config!$B$3)+1,1,4)-WEEKDAY(DATE(YEAR(Config!$B$3)+1,1,4))+1),"",TEXT(DATE(YEAR(Config!$B$3)+IF($A119&gt;=36,0,1),1,4)-WEEKDAY(DATE(YEAR(Config!$B$3)+IF($A119&gt;=36,0,1),1,4))+1+7*($A119-1)+1,"m/d/yy")&amp;" – "&amp;TEXT(DATE(YEAR(Config!$B$3)+IF($A119&gt;=36,0,1),1,4)-WEEKDAY(DATE(YEAR(Config!$B$3)+IF($A119&gt;=36,0,1),1,4))+1+7*($A119-1)+7,"m/d/yy"))</f>
        <v>9/7/26 – 9/13/26</v>
      </c>
    </row>
    <row r="120" customFormat="false" ht="15" hidden="false" customHeight="false" outlineLevel="0" collapsed="false">
      <c r="A120" s="5" t="n">
        <v>37</v>
      </c>
      <c r="B120" s="5" t="str">
        <f aca="false">IF(COUNTIFS(Weekly_Local!$U:$U,"2022-23",Weekly_Local!$T:$T,$A120,Weekly_Local!$D:$D,"&lt;&gt;")=0,"",SUMIFS(Weekly_Local!$D:$D,Weekly_Local!$U:$U,"2022-23",Weekly_Local!$T:$T,$A120))</f>
        <v/>
      </c>
      <c r="C120" s="5" t="n">
        <f aca="false">IF(COUNTIFS(Weekly_Local!$U:$U,"2023-24",Weekly_Local!$T:$T,$A120,Weekly_Local!$D:$D,"&lt;&gt;")=0,"",SUMIFS(Weekly_Local!$D:$D,Weekly_Local!$U:$U,"2023-24",Weekly_Local!$T:$T,$A120))</f>
        <v>0</v>
      </c>
      <c r="D120" s="5" t="n">
        <f aca="false">IF(COUNTIFS(Weekly_Local!$U:$U,"2024-25",Weekly_Local!$T:$T,$A120,Weekly_Local!$D:$D,"&lt;&gt;")=0,"",SUMIFS(Weekly_Local!$D:$D,Weekly_Local!$U:$U,"2024-25",Weekly_Local!$T:$T,$A120))</f>
        <v>0</v>
      </c>
      <c r="E120" s="5" t="n">
        <f aca="false">IF(COUNTIFS(Weekly_Local!$U:$U,"2025-26",Weekly_Local!$T:$T,$A120,Weekly_Local!$D:$D,"&lt;&gt;")=0,"",SUMIFS(Weekly_Local!$D:$D,Weekly_Local!$U:$U,"2025-26",Weekly_Local!$T:$T,$A120))</f>
        <v>0</v>
      </c>
      <c r="F120" s="5" t="n">
        <f aca="false">IF(COUNTIFS(Weekly_Local!$U:$U,"2026-27",Weekly_Local!$T:$T,$A120,Weekly_Local!$D:$D,"&lt;&gt;")=0,"",SUMIFS(Weekly_Local!$D:$D,Weekly_Local!$U:$U,"2026-27",Weekly_Local!$T:$T,$A120))</f>
        <v>0</v>
      </c>
      <c r="G120" s="5" t="str">
        <f aca="false">IF(AND($A120=53,DATE(YEAR(Config!$B$3),1,4)-WEEKDAY(DATE(YEAR(Config!$B$3),1,4))+1+364&gt;=DATE(YEAR(Config!$B$3)+1,1,4)-WEEKDAY(DATE(YEAR(Config!$B$3)+1,1,4))+1),"",TEXT(DATE(YEAR(Config!$B$3)+IF($A120&gt;=36,0,1),1,4)-WEEKDAY(DATE(YEAR(Config!$B$3)+IF($A120&gt;=36,0,1),1,4))+1+7*($A120-1)+1,"m/d/yy")&amp;" – "&amp;TEXT(DATE(YEAR(Config!$B$3)+IF($A120&gt;=36,0,1),1,4)-WEEKDAY(DATE(YEAR(Config!$B$3)+IF($A120&gt;=36,0,1),1,4))+1+7*($A120-1)+7,"m/d/yy"))</f>
        <v>9/14/26 – 9/20/26</v>
      </c>
    </row>
    <row r="121" customFormat="false" ht="15" hidden="false" customHeight="false" outlineLevel="0" collapsed="false">
      <c r="A121" s="5" t="n">
        <v>38</v>
      </c>
      <c r="B121" s="5" t="str">
        <f aca="false">IF(COUNTIFS(Weekly_Local!$U:$U,"2022-23",Weekly_Local!$T:$T,$A121,Weekly_Local!$D:$D,"&lt;&gt;")=0,"",SUMIFS(Weekly_Local!$D:$D,Weekly_Local!$U:$U,"2022-23",Weekly_Local!$T:$T,$A121))</f>
        <v/>
      </c>
      <c r="C121" s="5" t="n">
        <f aca="false">IF(COUNTIFS(Weekly_Local!$U:$U,"2023-24",Weekly_Local!$T:$T,$A121,Weekly_Local!$D:$D,"&lt;&gt;")=0,"",SUMIFS(Weekly_Local!$D:$D,Weekly_Local!$U:$U,"2023-24",Weekly_Local!$T:$T,$A121))</f>
        <v>1</v>
      </c>
      <c r="D121" s="5" t="n">
        <f aca="false">IF(COUNTIFS(Weekly_Local!$U:$U,"2024-25",Weekly_Local!$T:$T,$A121,Weekly_Local!$D:$D,"&lt;&gt;")=0,"",SUMIFS(Weekly_Local!$D:$D,Weekly_Local!$U:$U,"2024-25",Weekly_Local!$T:$T,$A121))</f>
        <v>0</v>
      </c>
      <c r="E121" s="5" t="n">
        <f aca="false">IF(COUNTIFS(Weekly_Local!$U:$U,"2025-26",Weekly_Local!$T:$T,$A121,Weekly_Local!$D:$D,"&lt;&gt;")=0,"",SUMIFS(Weekly_Local!$D:$D,Weekly_Local!$U:$U,"2025-26",Weekly_Local!$T:$T,$A121))</f>
        <v>0</v>
      </c>
      <c r="F121" s="5" t="n">
        <f aca="false">IF(COUNTIFS(Weekly_Local!$U:$U,"2026-27",Weekly_Local!$T:$T,$A121,Weekly_Local!$D:$D,"&lt;&gt;")=0,"",SUMIFS(Weekly_Local!$D:$D,Weekly_Local!$U:$U,"2026-27",Weekly_Local!$T:$T,$A121))</f>
        <v>0</v>
      </c>
      <c r="G121" s="5" t="str">
        <f aca="false">IF(AND($A121=53,DATE(YEAR(Config!$B$3),1,4)-WEEKDAY(DATE(YEAR(Config!$B$3),1,4))+1+364&gt;=DATE(YEAR(Config!$B$3)+1,1,4)-WEEKDAY(DATE(YEAR(Config!$B$3)+1,1,4))+1),"",TEXT(DATE(YEAR(Config!$B$3)+IF($A121&gt;=36,0,1),1,4)-WEEKDAY(DATE(YEAR(Config!$B$3)+IF($A121&gt;=36,0,1),1,4))+1+7*($A121-1)+1,"m/d/yy")&amp;" – "&amp;TEXT(DATE(YEAR(Config!$B$3)+IF($A121&gt;=36,0,1),1,4)-WEEKDAY(DATE(YEAR(Config!$B$3)+IF($A121&gt;=36,0,1),1,4))+1+7*($A121-1)+7,"m/d/yy"))</f>
        <v>9/21/26 – 9/27/26</v>
      </c>
    </row>
    <row r="122" customFormat="false" ht="15" hidden="false" customHeight="false" outlineLevel="0" collapsed="false">
      <c r="A122" s="5" t="n">
        <v>39</v>
      </c>
      <c r="B122" s="5" t="str">
        <f aca="false">IF(COUNTIFS(Weekly_Local!$U:$U,"2022-23",Weekly_Local!$T:$T,$A122,Weekly_Local!$D:$D,"&lt;&gt;")=0,"",SUMIFS(Weekly_Local!$D:$D,Weekly_Local!$U:$U,"2022-23",Weekly_Local!$T:$T,$A122))</f>
        <v/>
      </c>
      <c r="C122" s="5" t="n">
        <f aca="false">IF(COUNTIFS(Weekly_Local!$U:$U,"2023-24",Weekly_Local!$T:$T,$A122,Weekly_Local!$D:$D,"&lt;&gt;")=0,"",SUMIFS(Weekly_Local!$D:$D,Weekly_Local!$U:$U,"2023-24",Weekly_Local!$T:$T,$A122))</f>
        <v>0</v>
      </c>
      <c r="D122" s="5" t="n">
        <f aca="false">IF(COUNTIFS(Weekly_Local!$U:$U,"2024-25",Weekly_Local!$T:$T,$A122,Weekly_Local!$D:$D,"&lt;&gt;")=0,"",SUMIFS(Weekly_Local!$D:$D,Weekly_Local!$U:$U,"2024-25",Weekly_Local!$T:$T,$A122))</f>
        <v>0</v>
      </c>
      <c r="E122" s="5" t="n">
        <f aca="false">IF(COUNTIFS(Weekly_Local!$U:$U,"2025-26",Weekly_Local!$T:$T,$A122,Weekly_Local!$D:$D,"&lt;&gt;")=0,"",SUMIFS(Weekly_Local!$D:$D,Weekly_Local!$U:$U,"2025-26",Weekly_Local!$T:$T,$A122))</f>
        <v>0</v>
      </c>
      <c r="F122" s="5" t="n">
        <f aca="false">IF(COUNTIFS(Weekly_Local!$U:$U,"2026-27",Weekly_Local!$T:$T,$A122,Weekly_Local!$D:$D,"&lt;&gt;")=0,"",SUMIFS(Weekly_Local!$D:$D,Weekly_Local!$U:$U,"2026-27",Weekly_Local!$T:$T,$A122))</f>
        <v>1</v>
      </c>
      <c r="G122" s="5" t="str">
        <f aca="false">IF(AND($A122=53,DATE(YEAR(Config!$B$3),1,4)-WEEKDAY(DATE(YEAR(Config!$B$3),1,4))+1+364&gt;=DATE(YEAR(Config!$B$3)+1,1,4)-WEEKDAY(DATE(YEAR(Config!$B$3)+1,1,4))+1),"",TEXT(DATE(YEAR(Config!$B$3)+IF($A122&gt;=36,0,1),1,4)-WEEKDAY(DATE(YEAR(Config!$B$3)+IF($A122&gt;=36,0,1),1,4))+1+7*($A122-1)+1,"m/d/yy")&amp;" – "&amp;TEXT(DATE(YEAR(Config!$B$3)+IF($A122&gt;=36,0,1),1,4)-WEEKDAY(DATE(YEAR(Config!$B$3)+IF($A122&gt;=36,0,1),1,4))+1+7*($A122-1)+7,"m/d/yy"))</f>
        <v>9/28/26 – 10/4/26</v>
      </c>
    </row>
    <row r="123" customFormat="false" ht="15" hidden="false" customHeight="false" outlineLevel="0" collapsed="false">
      <c r="A123" s="5" t="n">
        <v>40</v>
      </c>
      <c r="B123" s="5" t="str">
        <f aca="false">IF(COUNTIFS(Weekly_Local!$U:$U,"2022-23",Weekly_Local!$T:$T,$A123,Weekly_Local!$D:$D,"&lt;&gt;")=0,"",SUMIFS(Weekly_Local!$D:$D,Weekly_Local!$U:$U,"2022-23",Weekly_Local!$T:$T,$A123))</f>
        <v/>
      </c>
      <c r="C123" s="5" t="n">
        <f aca="false">IF(COUNTIFS(Weekly_Local!$U:$U,"2023-24",Weekly_Local!$T:$T,$A123,Weekly_Local!$D:$D,"&lt;&gt;")=0,"",SUMIFS(Weekly_Local!$D:$D,Weekly_Local!$U:$U,"2023-24",Weekly_Local!$T:$T,$A123))</f>
        <v>0</v>
      </c>
      <c r="D123" s="5" t="n">
        <f aca="false">IF(COUNTIFS(Weekly_Local!$U:$U,"2024-25",Weekly_Local!$T:$T,$A123,Weekly_Local!$D:$D,"&lt;&gt;")=0,"",SUMIFS(Weekly_Local!$D:$D,Weekly_Local!$U:$U,"2024-25",Weekly_Local!$T:$T,$A123))</f>
        <v>0</v>
      </c>
      <c r="E123" s="5" t="n">
        <f aca="false">IF(COUNTIFS(Weekly_Local!$U:$U,"2025-26",Weekly_Local!$T:$T,$A123,Weekly_Local!$D:$D,"&lt;&gt;")=0,"",SUMIFS(Weekly_Local!$D:$D,Weekly_Local!$U:$U,"2025-26",Weekly_Local!$T:$T,$A123))</f>
        <v>0</v>
      </c>
      <c r="F123" s="5" t="n">
        <f aca="false">IF(COUNTIFS(Weekly_Local!$U:$U,"2026-27",Weekly_Local!$T:$T,$A123,Weekly_Local!$D:$D,"&lt;&gt;")=0,"",SUMIFS(Weekly_Local!$D:$D,Weekly_Local!$U:$U,"2026-27",Weekly_Local!$T:$T,$A123))</f>
        <v>0</v>
      </c>
      <c r="G123" s="5" t="str">
        <f aca="false">IF(AND($A123=53,DATE(YEAR(Config!$B$3),1,4)-WEEKDAY(DATE(YEAR(Config!$B$3),1,4))+1+364&gt;=DATE(YEAR(Config!$B$3)+1,1,4)-WEEKDAY(DATE(YEAR(Config!$B$3)+1,1,4))+1),"",TEXT(DATE(YEAR(Config!$B$3)+IF($A123&gt;=36,0,1),1,4)-WEEKDAY(DATE(YEAR(Config!$B$3)+IF($A123&gt;=36,0,1),1,4))+1+7*($A123-1)+1,"m/d/yy")&amp;" – "&amp;TEXT(DATE(YEAR(Config!$B$3)+IF($A123&gt;=36,0,1),1,4)-WEEKDAY(DATE(YEAR(Config!$B$3)+IF($A123&gt;=36,0,1),1,4))+1+7*($A123-1)+7,"m/d/yy"))</f>
        <v>10/5/26 – 10/11/26</v>
      </c>
    </row>
    <row r="124" customFormat="false" ht="15" hidden="false" customHeight="false" outlineLevel="0" collapsed="false">
      <c r="A124" s="5" t="n">
        <v>41</v>
      </c>
      <c r="B124" s="5" t="str">
        <f aca="false">IF(COUNTIFS(Weekly_Local!$U:$U,"2022-23",Weekly_Local!$T:$T,$A124,Weekly_Local!$D:$D,"&lt;&gt;")=0,"",SUMIFS(Weekly_Local!$D:$D,Weekly_Local!$U:$U,"2022-23",Weekly_Local!$T:$T,$A124))</f>
        <v/>
      </c>
      <c r="C124" s="5" t="n">
        <f aca="false">IF(COUNTIFS(Weekly_Local!$U:$U,"2023-24",Weekly_Local!$T:$T,$A124,Weekly_Local!$D:$D,"&lt;&gt;")=0,"",SUMIFS(Weekly_Local!$D:$D,Weekly_Local!$U:$U,"2023-24",Weekly_Local!$T:$T,$A124))</f>
        <v>0</v>
      </c>
      <c r="D124" s="5" t="n">
        <f aca="false">IF(COUNTIFS(Weekly_Local!$U:$U,"2024-25",Weekly_Local!$T:$T,$A124,Weekly_Local!$D:$D,"&lt;&gt;")=0,"",SUMIFS(Weekly_Local!$D:$D,Weekly_Local!$U:$U,"2024-25",Weekly_Local!$T:$T,$A124))</f>
        <v>0</v>
      </c>
      <c r="E124" s="5" t="n">
        <f aca="false">IF(COUNTIFS(Weekly_Local!$U:$U,"2025-26",Weekly_Local!$T:$T,$A124,Weekly_Local!$D:$D,"&lt;&gt;")=0,"",SUMIFS(Weekly_Local!$D:$D,Weekly_Local!$U:$U,"2025-26",Weekly_Local!$T:$T,$A124))</f>
        <v>0</v>
      </c>
      <c r="F124" s="5" t="str">
        <f aca="false">IF(COUNTIFS(Weekly_Local!$U:$U,"2026-27",Weekly_Local!$T:$T,$A124,Weekly_Local!$D:$D,"&lt;&gt;")=0,"",SUMIFS(Weekly_Local!$D:$D,Weekly_Local!$U:$U,"2026-27",Weekly_Local!$T:$T,$A124))</f>
        <v/>
      </c>
      <c r="G124" s="5" t="str">
        <f aca="false">IF(AND($A124=53,DATE(YEAR(Config!$B$3),1,4)-WEEKDAY(DATE(YEAR(Config!$B$3),1,4))+1+364&gt;=DATE(YEAR(Config!$B$3)+1,1,4)-WEEKDAY(DATE(YEAR(Config!$B$3)+1,1,4))+1),"",TEXT(DATE(YEAR(Config!$B$3)+IF($A124&gt;=36,0,1),1,4)-WEEKDAY(DATE(YEAR(Config!$B$3)+IF($A124&gt;=36,0,1),1,4))+1+7*($A124-1)+1,"m/d/yy")&amp;" – "&amp;TEXT(DATE(YEAR(Config!$B$3)+IF($A124&gt;=36,0,1),1,4)-WEEKDAY(DATE(YEAR(Config!$B$3)+IF($A124&gt;=36,0,1),1,4))+1+7*($A124-1)+7,"m/d/yy"))</f>
        <v>10/12/26 – 10/18/26</v>
      </c>
    </row>
    <row r="125" customFormat="false" ht="15" hidden="false" customHeight="false" outlineLevel="0" collapsed="false">
      <c r="A125" s="5" t="n">
        <v>42</v>
      </c>
      <c r="B125" s="5" t="str">
        <f aca="false">IF(COUNTIFS(Weekly_Local!$U:$U,"2022-23",Weekly_Local!$T:$T,$A125,Weekly_Local!$D:$D,"&lt;&gt;")=0,"",SUMIFS(Weekly_Local!$D:$D,Weekly_Local!$U:$U,"2022-23",Weekly_Local!$T:$T,$A125))</f>
        <v/>
      </c>
      <c r="C125" s="5" t="n">
        <f aca="false">IF(COUNTIFS(Weekly_Local!$U:$U,"2023-24",Weekly_Local!$T:$T,$A125,Weekly_Local!$D:$D,"&lt;&gt;")=0,"",SUMIFS(Weekly_Local!$D:$D,Weekly_Local!$U:$U,"2023-24",Weekly_Local!$T:$T,$A125))</f>
        <v>0</v>
      </c>
      <c r="D125" s="5" t="n">
        <f aca="false">IF(COUNTIFS(Weekly_Local!$U:$U,"2024-25",Weekly_Local!$T:$T,$A125,Weekly_Local!$D:$D,"&lt;&gt;")=0,"",SUMIFS(Weekly_Local!$D:$D,Weekly_Local!$U:$U,"2024-25",Weekly_Local!$T:$T,$A125))</f>
        <v>0</v>
      </c>
      <c r="E125" s="5" t="n">
        <f aca="false">IF(COUNTIFS(Weekly_Local!$U:$U,"2025-26",Weekly_Local!$T:$T,$A125,Weekly_Local!$D:$D,"&lt;&gt;")=0,"",SUMIFS(Weekly_Local!$D:$D,Weekly_Local!$U:$U,"2025-26",Weekly_Local!$T:$T,$A125))</f>
        <v>0</v>
      </c>
      <c r="F125" s="5" t="str">
        <f aca="false">IF(COUNTIFS(Weekly_Local!$U:$U,"2026-27",Weekly_Local!$T:$T,$A125,Weekly_Local!$D:$D,"&lt;&gt;")=0,"",SUMIFS(Weekly_Local!$D:$D,Weekly_Local!$U:$U,"2026-27",Weekly_Local!$T:$T,$A125))</f>
        <v/>
      </c>
      <c r="G125" s="5" t="str">
        <f aca="false">IF(AND($A125=53,DATE(YEAR(Config!$B$3),1,4)-WEEKDAY(DATE(YEAR(Config!$B$3),1,4))+1+364&gt;=DATE(YEAR(Config!$B$3)+1,1,4)-WEEKDAY(DATE(YEAR(Config!$B$3)+1,1,4))+1),"",TEXT(DATE(YEAR(Config!$B$3)+IF($A125&gt;=36,0,1),1,4)-WEEKDAY(DATE(YEAR(Config!$B$3)+IF($A125&gt;=36,0,1),1,4))+1+7*($A125-1)+1,"m/d/yy")&amp;" – "&amp;TEXT(DATE(YEAR(Config!$B$3)+IF($A125&gt;=36,0,1),1,4)-WEEKDAY(DATE(YEAR(Config!$B$3)+IF($A125&gt;=36,0,1),1,4))+1+7*($A125-1)+7,"m/d/yy"))</f>
        <v>10/19/26 – 10/25/26</v>
      </c>
    </row>
    <row r="126" customFormat="false" ht="15" hidden="false" customHeight="false" outlineLevel="0" collapsed="false">
      <c r="A126" s="5" t="n">
        <v>43</v>
      </c>
      <c r="B126" s="5" t="str">
        <f aca="false">IF(COUNTIFS(Weekly_Local!$U:$U,"2022-23",Weekly_Local!$T:$T,$A126,Weekly_Local!$D:$D,"&lt;&gt;")=0,"",SUMIFS(Weekly_Local!$D:$D,Weekly_Local!$U:$U,"2022-23",Weekly_Local!$T:$T,$A126))</f>
        <v/>
      </c>
      <c r="C126" s="5" t="n">
        <f aca="false">IF(COUNTIFS(Weekly_Local!$U:$U,"2023-24",Weekly_Local!$T:$T,$A126,Weekly_Local!$D:$D,"&lt;&gt;")=0,"",SUMIFS(Weekly_Local!$D:$D,Weekly_Local!$U:$U,"2023-24",Weekly_Local!$T:$T,$A126))</f>
        <v>0</v>
      </c>
      <c r="D126" s="5" t="n">
        <f aca="false">IF(COUNTIFS(Weekly_Local!$U:$U,"2024-25",Weekly_Local!$T:$T,$A126,Weekly_Local!$D:$D,"&lt;&gt;")=0,"",SUMIFS(Weekly_Local!$D:$D,Weekly_Local!$U:$U,"2024-25",Weekly_Local!$T:$T,$A126))</f>
        <v>2</v>
      </c>
      <c r="E126" s="5" t="n">
        <f aca="false">IF(COUNTIFS(Weekly_Local!$U:$U,"2025-26",Weekly_Local!$T:$T,$A126,Weekly_Local!$D:$D,"&lt;&gt;")=0,"",SUMIFS(Weekly_Local!$D:$D,Weekly_Local!$U:$U,"2025-26",Weekly_Local!$T:$T,$A126))</f>
        <v>0</v>
      </c>
      <c r="F126" s="5" t="str">
        <f aca="false">IF(COUNTIFS(Weekly_Local!$U:$U,"2026-27",Weekly_Local!$T:$T,$A126,Weekly_Local!$D:$D,"&lt;&gt;")=0,"",SUMIFS(Weekly_Local!$D:$D,Weekly_Local!$U:$U,"2026-27",Weekly_Local!$T:$T,$A126))</f>
        <v/>
      </c>
      <c r="G126" s="5" t="str">
        <f aca="false">IF(AND($A126=53,DATE(YEAR(Config!$B$3),1,4)-WEEKDAY(DATE(YEAR(Config!$B$3),1,4))+1+364&gt;=DATE(YEAR(Config!$B$3)+1,1,4)-WEEKDAY(DATE(YEAR(Config!$B$3)+1,1,4))+1),"",TEXT(DATE(YEAR(Config!$B$3)+IF($A126&gt;=36,0,1),1,4)-WEEKDAY(DATE(YEAR(Config!$B$3)+IF($A126&gt;=36,0,1),1,4))+1+7*($A126-1)+1,"m/d/yy")&amp;" – "&amp;TEXT(DATE(YEAR(Config!$B$3)+IF($A126&gt;=36,0,1),1,4)-WEEKDAY(DATE(YEAR(Config!$B$3)+IF($A126&gt;=36,0,1),1,4))+1+7*($A126-1)+7,"m/d/yy"))</f>
        <v>10/26/26 – 11/1/26</v>
      </c>
    </row>
    <row r="127" customFormat="false" ht="15" hidden="false" customHeight="false" outlineLevel="0" collapsed="false">
      <c r="A127" s="5" t="n">
        <v>44</v>
      </c>
      <c r="B127" s="5" t="str">
        <f aca="false">IF(COUNTIFS(Weekly_Local!$U:$U,"2022-23",Weekly_Local!$T:$T,$A127,Weekly_Local!$D:$D,"&lt;&gt;")=0,"",SUMIFS(Weekly_Local!$D:$D,Weekly_Local!$U:$U,"2022-23",Weekly_Local!$T:$T,$A127))</f>
        <v/>
      </c>
      <c r="C127" s="5" t="n">
        <f aca="false">IF(COUNTIFS(Weekly_Local!$U:$U,"2023-24",Weekly_Local!$T:$T,$A127,Weekly_Local!$D:$D,"&lt;&gt;")=0,"",SUMIFS(Weekly_Local!$D:$D,Weekly_Local!$U:$U,"2023-24",Weekly_Local!$T:$T,$A127))</f>
        <v>1</v>
      </c>
      <c r="D127" s="5" t="n">
        <f aca="false">IF(COUNTIFS(Weekly_Local!$U:$U,"2024-25",Weekly_Local!$T:$T,$A127,Weekly_Local!$D:$D,"&lt;&gt;")=0,"",SUMIFS(Weekly_Local!$D:$D,Weekly_Local!$U:$U,"2024-25",Weekly_Local!$T:$T,$A127))</f>
        <v>0</v>
      </c>
      <c r="E127" s="5" t="n">
        <f aca="false">IF(COUNTIFS(Weekly_Local!$U:$U,"2025-26",Weekly_Local!$T:$T,$A127,Weekly_Local!$D:$D,"&lt;&gt;")=0,"",SUMIFS(Weekly_Local!$D:$D,Weekly_Local!$U:$U,"2025-26",Weekly_Local!$T:$T,$A127))</f>
        <v>0</v>
      </c>
      <c r="F127" s="5" t="str">
        <f aca="false">IF(COUNTIFS(Weekly_Local!$U:$U,"2026-27",Weekly_Local!$T:$T,$A127,Weekly_Local!$D:$D,"&lt;&gt;")=0,"",SUMIFS(Weekly_Local!$D:$D,Weekly_Local!$U:$U,"2026-27",Weekly_Local!$T:$T,$A127))</f>
        <v/>
      </c>
      <c r="G127" s="5" t="str">
        <f aca="false">IF(AND($A127=53,DATE(YEAR(Config!$B$3),1,4)-WEEKDAY(DATE(YEAR(Config!$B$3),1,4))+1+364&gt;=DATE(YEAR(Config!$B$3)+1,1,4)-WEEKDAY(DATE(YEAR(Config!$B$3)+1,1,4))+1),"",TEXT(DATE(YEAR(Config!$B$3)+IF($A127&gt;=36,0,1),1,4)-WEEKDAY(DATE(YEAR(Config!$B$3)+IF($A127&gt;=36,0,1),1,4))+1+7*($A127-1)+1,"m/d/yy")&amp;" – "&amp;TEXT(DATE(YEAR(Config!$B$3)+IF($A127&gt;=36,0,1),1,4)-WEEKDAY(DATE(YEAR(Config!$B$3)+IF($A127&gt;=36,0,1),1,4))+1+7*($A127-1)+7,"m/d/yy"))</f>
        <v>11/2/26 – 11/8/26</v>
      </c>
    </row>
    <row r="128" customFormat="false" ht="15" hidden="false" customHeight="false" outlineLevel="0" collapsed="false">
      <c r="A128" s="5" t="n">
        <v>45</v>
      </c>
      <c r="B128" s="5" t="str">
        <f aca="false">IF(COUNTIFS(Weekly_Local!$U:$U,"2022-23",Weekly_Local!$T:$T,$A128,Weekly_Local!$D:$D,"&lt;&gt;")=0,"",SUMIFS(Weekly_Local!$D:$D,Weekly_Local!$U:$U,"2022-23",Weekly_Local!$T:$T,$A128))</f>
        <v/>
      </c>
      <c r="C128" s="5" t="n">
        <f aca="false">IF(COUNTIFS(Weekly_Local!$U:$U,"2023-24",Weekly_Local!$T:$T,$A128,Weekly_Local!$D:$D,"&lt;&gt;")=0,"",SUMIFS(Weekly_Local!$D:$D,Weekly_Local!$U:$U,"2023-24",Weekly_Local!$T:$T,$A128))</f>
        <v>1</v>
      </c>
      <c r="D128" s="5" t="n">
        <f aca="false">IF(COUNTIFS(Weekly_Local!$U:$U,"2024-25",Weekly_Local!$T:$T,$A128,Weekly_Local!$D:$D,"&lt;&gt;")=0,"",SUMIFS(Weekly_Local!$D:$D,Weekly_Local!$U:$U,"2024-25",Weekly_Local!$T:$T,$A128))</f>
        <v>0</v>
      </c>
      <c r="E128" s="5" t="n">
        <f aca="false">IF(COUNTIFS(Weekly_Local!$U:$U,"2025-26",Weekly_Local!$T:$T,$A128,Weekly_Local!$D:$D,"&lt;&gt;")=0,"",SUMIFS(Weekly_Local!$D:$D,Weekly_Local!$U:$U,"2025-26",Weekly_Local!$T:$T,$A128))</f>
        <v>0</v>
      </c>
      <c r="F128" s="5" t="str">
        <f aca="false">IF(COUNTIFS(Weekly_Local!$U:$U,"2026-27",Weekly_Local!$T:$T,$A128,Weekly_Local!$D:$D,"&lt;&gt;")=0,"",SUMIFS(Weekly_Local!$D:$D,Weekly_Local!$U:$U,"2026-27",Weekly_Local!$T:$T,$A128))</f>
        <v/>
      </c>
      <c r="G128" s="5" t="str">
        <f aca="false">IF(AND($A128=53,DATE(YEAR(Config!$B$3),1,4)-WEEKDAY(DATE(YEAR(Config!$B$3),1,4))+1+364&gt;=DATE(YEAR(Config!$B$3)+1,1,4)-WEEKDAY(DATE(YEAR(Config!$B$3)+1,1,4))+1),"",TEXT(DATE(YEAR(Config!$B$3)+IF($A128&gt;=36,0,1),1,4)-WEEKDAY(DATE(YEAR(Config!$B$3)+IF($A128&gt;=36,0,1),1,4))+1+7*($A128-1)+1,"m/d/yy")&amp;" – "&amp;TEXT(DATE(YEAR(Config!$B$3)+IF($A128&gt;=36,0,1),1,4)-WEEKDAY(DATE(YEAR(Config!$B$3)+IF($A128&gt;=36,0,1),1,4))+1+7*($A128-1)+7,"m/d/yy"))</f>
        <v>11/9/26 – 11/15/26</v>
      </c>
    </row>
    <row r="129" customFormat="false" ht="15" hidden="false" customHeight="false" outlineLevel="0" collapsed="false">
      <c r="A129" s="5" t="n">
        <v>46</v>
      </c>
      <c r="B129" s="5" t="str">
        <f aca="false">IF(COUNTIFS(Weekly_Local!$U:$U,"2022-23",Weekly_Local!$T:$T,$A129,Weekly_Local!$D:$D,"&lt;&gt;")=0,"",SUMIFS(Weekly_Local!$D:$D,Weekly_Local!$U:$U,"2022-23",Weekly_Local!$T:$T,$A129))</f>
        <v/>
      </c>
      <c r="C129" s="5" t="n">
        <f aca="false">IF(COUNTIFS(Weekly_Local!$U:$U,"2023-24",Weekly_Local!$T:$T,$A129,Weekly_Local!$D:$D,"&lt;&gt;")=0,"",SUMIFS(Weekly_Local!$D:$D,Weekly_Local!$U:$U,"2023-24",Weekly_Local!$T:$T,$A129))</f>
        <v>0</v>
      </c>
      <c r="D129" s="5" t="n">
        <f aca="false">IF(COUNTIFS(Weekly_Local!$U:$U,"2024-25",Weekly_Local!$T:$T,$A129,Weekly_Local!$D:$D,"&lt;&gt;")=0,"",SUMIFS(Weekly_Local!$D:$D,Weekly_Local!$U:$U,"2024-25",Weekly_Local!$T:$T,$A129))</f>
        <v>0</v>
      </c>
      <c r="E129" s="5" t="n">
        <f aca="false">IF(COUNTIFS(Weekly_Local!$U:$U,"2025-26",Weekly_Local!$T:$T,$A129,Weekly_Local!$D:$D,"&lt;&gt;")=0,"",SUMIFS(Weekly_Local!$D:$D,Weekly_Local!$U:$U,"2025-26",Weekly_Local!$T:$T,$A129))</f>
        <v>0</v>
      </c>
      <c r="F129" s="5" t="str">
        <f aca="false">IF(COUNTIFS(Weekly_Local!$U:$U,"2026-27",Weekly_Local!$T:$T,$A129,Weekly_Local!$D:$D,"&lt;&gt;")=0,"",SUMIFS(Weekly_Local!$D:$D,Weekly_Local!$U:$U,"2026-27",Weekly_Local!$T:$T,$A129))</f>
        <v/>
      </c>
      <c r="G129" s="5" t="str">
        <f aca="false">IF(AND($A129=53,DATE(YEAR(Config!$B$3),1,4)-WEEKDAY(DATE(YEAR(Config!$B$3),1,4))+1+364&gt;=DATE(YEAR(Config!$B$3)+1,1,4)-WEEKDAY(DATE(YEAR(Config!$B$3)+1,1,4))+1),"",TEXT(DATE(YEAR(Config!$B$3)+IF($A129&gt;=36,0,1),1,4)-WEEKDAY(DATE(YEAR(Config!$B$3)+IF($A129&gt;=36,0,1),1,4))+1+7*($A129-1)+1,"m/d/yy")&amp;" – "&amp;TEXT(DATE(YEAR(Config!$B$3)+IF($A129&gt;=36,0,1),1,4)-WEEKDAY(DATE(YEAR(Config!$B$3)+IF($A129&gt;=36,0,1),1,4))+1+7*($A129-1)+7,"m/d/yy"))</f>
        <v>11/16/26 – 11/22/26</v>
      </c>
    </row>
    <row r="130" customFormat="false" ht="15" hidden="false" customHeight="false" outlineLevel="0" collapsed="false">
      <c r="A130" s="5" t="n">
        <v>47</v>
      </c>
      <c r="B130" s="5" t="str">
        <f aca="false">IF(COUNTIFS(Weekly_Local!$U:$U,"2022-23",Weekly_Local!$T:$T,$A130,Weekly_Local!$D:$D,"&lt;&gt;")=0,"",SUMIFS(Weekly_Local!$D:$D,Weekly_Local!$U:$U,"2022-23",Weekly_Local!$T:$T,$A130))</f>
        <v/>
      </c>
      <c r="C130" s="5" t="n">
        <f aca="false">IF(COUNTIFS(Weekly_Local!$U:$U,"2023-24",Weekly_Local!$T:$T,$A130,Weekly_Local!$D:$D,"&lt;&gt;")=0,"",SUMIFS(Weekly_Local!$D:$D,Weekly_Local!$U:$U,"2023-24",Weekly_Local!$T:$T,$A130))</f>
        <v>3</v>
      </c>
      <c r="D130" s="5" t="n">
        <f aca="false">IF(COUNTIFS(Weekly_Local!$U:$U,"2024-25",Weekly_Local!$T:$T,$A130,Weekly_Local!$D:$D,"&lt;&gt;")=0,"",SUMIFS(Weekly_Local!$D:$D,Weekly_Local!$U:$U,"2024-25",Weekly_Local!$T:$T,$A130))</f>
        <v>0</v>
      </c>
      <c r="E130" s="5" t="n">
        <f aca="false">IF(COUNTIFS(Weekly_Local!$U:$U,"2025-26",Weekly_Local!$T:$T,$A130,Weekly_Local!$D:$D,"&lt;&gt;")=0,"",SUMIFS(Weekly_Local!$D:$D,Weekly_Local!$U:$U,"2025-26",Weekly_Local!$T:$T,$A130))</f>
        <v>0</v>
      </c>
      <c r="F130" s="5" t="str">
        <f aca="false">IF(COUNTIFS(Weekly_Local!$U:$U,"2026-27",Weekly_Local!$T:$T,$A130,Weekly_Local!$D:$D,"&lt;&gt;")=0,"",SUMIFS(Weekly_Local!$D:$D,Weekly_Local!$U:$U,"2026-27",Weekly_Local!$T:$T,$A130))</f>
        <v/>
      </c>
      <c r="G130" s="5" t="str">
        <f aca="false">IF(AND($A130=53,DATE(YEAR(Config!$B$3),1,4)-WEEKDAY(DATE(YEAR(Config!$B$3),1,4))+1+364&gt;=DATE(YEAR(Config!$B$3)+1,1,4)-WEEKDAY(DATE(YEAR(Config!$B$3)+1,1,4))+1),"",TEXT(DATE(YEAR(Config!$B$3)+IF($A130&gt;=36,0,1),1,4)-WEEKDAY(DATE(YEAR(Config!$B$3)+IF($A130&gt;=36,0,1),1,4))+1+7*($A130-1)+1,"m/d/yy")&amp;" – "&amp;TEXT(DATE(YEAR(Config!$B$3)+IF($A130&gt;=36,0,1),1,4)-WEEKDAY(DATE(YEAR(Config!$B$3)+IF($A130&gt;=36,0,1),1,4))+1+7*($A130-1)+7,"m/d/yy"))</f>
        <v>11/23/26 – 11/29/26</v>
      </c>
    </row>
    <row r="131" customFormat="false" ht="15" hidden="false" customHeight="false" outlineLevel="0" collapsed="false">
      <c r="A131" s="5" t="n">
        <v>48</v>
      </c>
      <c r="B131" s="5" t="str">
        <f aca="false">IF(COUNTIFS(Weekly_Local!$U:$U,"2022-23",Weekly_Local!$T:$T,$A131,Weekly_Local!$D:$D,"&lt;&gt;")=0,"",SUMIFS(Weekly_Local!$D:$D,Weekly_Local!$U:$U,"2022-23",Weekly_Local!$T:$T,$A131))</f>
        <v/>
      </c>
      <c r="C131" s="5" t="n">
        <f aca="false">IF(COUNTIFS(Weekly_Local!$U:$U,"2023-24",Weekly_Local!$T:$T,$A131,Weekly_Local!$D:$D,"&lt;&gt;")=0,"",SUMIFS(Weekly_Local!$D:$D,Weekly_Local!$U:$U,"2023-24",Weekly_Local!$T:$T,$A131))</f>
        <v>0</v>
      </c>
      <c r="D131" s="5" t="n">
        <f aca="false">IF(COUNTIFS(Weekly_Local!$U:$U,"2024-25",Weekly_Local!$T:$T,$A131,Weekly_Local!$D:$D,"&lt;&gt;")=0,"",SUMIFS(Weekly_Local!$D:$D,Weekly_Local!$U:$U,"2024-25",Weekly_Local!$T:$T,$A131))</f>
        <v>0</v>
      </c>
      <c r="E131" s="5" t="n">
        <f aca="false">IF(COUNTIFS(Weekly_Local!$U:$U,"2025-26",Weekly_Local!$T:$T,$A131,Weekly_Local!$D:$D,"&lt;&gt;")=0,"",SUMIFS(Weekly_Local!$D:$D,Weekly_Local!$U:$U,"2025-26",Weekly_Local!$T:$T,$A131))</f>
        <v>0</v>
      </c>
      <c r="F131" s="5" t="str">
        <f aca="false">IF(COUNTIFS(Weekly_Local!$U:$U,"2026-27",Weekly_Local!$T:$T,$A131,Weekly_Local!$D:$D,"&lt;&gt;")=0,"",SUMIFS(Weekly_Local!$D:$D,Weekly_Local!$U:$U,"2026-27",Weekly_Local!$T:$T,$A131))</f>
        <v/>
      </c>
      <c r="G131" s="5" t="str">
        <f aca="false">IF(AND($A131=53,DATE(YEAR(Config!$B$3),1,4)-WEEKDAY(DATE(YEAR(Config!$B$3),1,4))+1+364&gt;=DATE(YEAR(Config!$B$3)+1,1,4)-WEEKDAY(DATE(YEAR(Config!$B$3)+1,1,4))+1),"",TEXT(DATE(YEAR(Config!$B$3)+IF($A131&gt;=36,0,1),1,4)-WEEKDAY(DATE(YEAR(Config!$B$3)+IF($A131&gt;=36,0,1),1,4))+1+7*($A131-1)+1,"m/d/yy")&amp;" – "&amp;TEXT(DATE(YEAR(Config!$B$3)+IF($A131&gt;=36,0,1),1,4)-WEEKDAY(DATE(YEAR(Config!$B$3)+IF($A131&gt;=36,0,1),1,4))+1+7*($A131-1)+7,"m/d/yy"))</f>
        <v>11/30/26 – 12/6/26</v>
      </c>
    </row>
    <row r="132" customFormat="false" ht="15" hidden="false" customHeight="false" outlineLevel="0" collapsed="false">
      <c r="A132" s="5" t="n">
        <v>49</v>
      </c>
      <c r="B132" s="5" t="str">
        <f aca="false">IF(COUNTIFS(Weekly_Local!$U:$U,"2022-23",Weekly_Local!$T:$T,$A132,Weekly_Local!$D:$D,"&lt;&gt;")=0,"",SUMIFS(Weekly_Local!$D:$D,Weekly_Local!$U:$U,"2022-23",Weekly_Local!$T:$T,$A132))</f>
        <v/>
      </c>
      <c r="C132" s="5" t="n">
        <f aca="false">IF(COUNTIFS(Weekly_Local!$U:$U,"2023-24",Weekly_Local!$T:$T,$A132,Weekly_Local!$D:$D,"&lt;&gt;")=0,"",SUMIFS(Weekly_Local!$D:$D,Weekly_Local!$U:$U,"2023-24",Weekly_Local!$T:$T,$A132))</f>
        <v>1</v>
      </c>
      <c r="D132" s="5" t="n">
        <f aca="false">IF(COUNTIFS(Weekly_Local!$U:$U,"2024-25",Weekly_Local!$T:$T,$A132,Weekly_Local!$D:$D,"&lt;&gt;")=0,"",SUMIFS(Weekly_Local!$D:$D,Weekly_Local!$U:$U,"2024-25",Weekly_Local!$T:$T,$A132))</f>
        <v>0</v>
      </c>
      <c r="E132" s="5" t="n">
        <f aca="false">IF(COUNTIFS(Weekly_Local!$U:$U,"2025-26",Weekly_Local!$T:$T,$A132,Weekly_Local!$D:$D,"&lt;&gt;")=0,"",SUMIFS(Weekly_Local!$D:$D,Weekly_Local!$U:$U,"2025-26",Weekly_Local!$T:$T,$A132))</f>
        <v>0</v>
      </c>
      <c r="F132" s="5" t="str">
        <f aca="false">IF(COUNTIFS(Weekly_Local!$U:$U,"2026-27",Weekly_Local!$T:$T,$A132,Weekly_Local!$D:$D,"&lt;&gt;")=0,"",SUMIFS(Weekly_Local!$D:$D,Weekly_Local!$U:$U,"2026-27",Weekly_Local!$T:$T,$A132))</f>
        <v/>
      </c>
      <c r="G132" s="5" t="str">
        <f aca="false">IF(AND($A132=53,DATE(YEAR(Config!$B$3),1,4)-WEEKDAY(DATE(YEAR(Config!$B$3),1,4))+1+364&gt;=DATE(YEAR(Config!$B$3)+1,1,4)-WEEKDAY(DATE(YEAR(Config!$B$3)+1,1,4))+1),"",TEXT(DATE(YEAR(Config!$B$3)+IF($A132&gt;=36,0,1),1,4)-WEEKDAY(DATE(YEAR(Config!$B$3)+IF($A132&gt;=36,0,1),1,4))+1+7*($A132-1)+1,"m/d/yy")&amp;" – "&amp;TEXT(DATE(YEAR(Config!$B$3)+IF($A132&gt;=36,0,1),1,4)-WEEKDAY(DATE(YEAR(Config!$B$3)+IF($A132&gt;=36,0,1),1,4))+1+7*($A132-1)+7,"m/d/yy"))</f>
        <v>12/7/26 – 12/13/26</v>
      </c>
    </row>
    <row r="133" customFormat="false" ht="15" hidden="false" customHeight="false" outlineLevel="0" collapsed="false">
      <c r="A133" s="5" t="n">
        <v>50</v>
      </c>
      <c r="B133" s="5" t="str">
        <f aca="false">IF(COUNTIFS(Weekly_Local!$U:$U,"2022-23",Weekly_Local!$T:$T,$A133,Weekly_Local!$D:$D,"&lt;&gt;")=0,"",SUMIFS(Weekly_Local!$D:$D,Weekly_Local!$U:$U,"2022-23",Weekly_Local!$T:$T,$A133))</f>
        <v/>
      </c>
      <c r="C133" s="5" t="n">
        <f aca="false">IF(COUNTIFS(Weekly_Local!$U:$U,"2023-24",Weekly_Local!$T:$T,$A133,Weekly_Local!$D:$D,"&lt;&gt;")=0,"",SUMIFS(Weekly_Local!$D:$D,Weekly_Local!$U:$U,"2023-24",Weekly_Local!$T:$T,$A133))</f>
        <v>6</v>
      </c>
      <c r="D133" s="5" t="n">
        <f aca="false">IF(COUNTIFS(Weekly_Local!$U:$U,"2024-25",Weekly_Local!$T:$T,$A133,Weekly_Local!$D:$D,"&lt;&gt;")=0,"",SUMIFS(Weekly_Local!$D:$D,Weekly_Local!$U:$U,"2024-25",Weekly_Local!$T:$T,$A133))</f>
        <v>0</v>
      </c>
      <c r="E133" s="5" t="n">
        <f aca="false">IF(COUNTIFS(Weekly_Local!$U:$U,"2025-26",Weekly_Local!$T:$T,$A133,Weekly_Local!$D:$D,"&lt;&gt;")=0,"",SUMIFS(Weekly_Local!$D:$D,Weekly_Local!$U:$U,"2025-26",Weekly_Local!$T:$T,$A133))</f>
        <v>1</v>
      </c>
      <c r="F133" s="5" t="str">
        <f aca="false">IF(COUNTIFS(Weekly_Local!$U:$U,"2026-27",Weekly_Local!$T:$T,$A133,Weekly_Local!$D:$D,"&lt;&gt;")=0,"",SUMIFS(Weekly_Local!$D:$D,Weekly_Local!$U:$U,"2026-27",Weekly_Local!$T:$T,$A133))</f>
        <v/>
      </c>
      <c r="G133" s="5" t="str">
        <f aca="false">IF(AND($A133=53,DATE(YEAR(Config!$B$3),1,4)-WEEKDAY(DATE(YEAR(Config!$B$3),1,4))+1+364&gt;=DATE(YEAR(Config!$B$3)+1,1,4)-WEEKDAY(DATE(YEAR(Config!$B$3)+1,1,4))+1),"",TEXT(DATE(YEAR(Config!$B$3)+IF($A133&gt;=36,0,1),1,4)-WEEKDAY(DATE(YEAR(Config!$B$3)+IF($A133&gt;=36,0,1),1,4))+1+7*($A133-1)+1,"m/d/yy")&amp;" – "&amp;TEXT(DATE(YEAR(Config!$B$3)+IF($A133&gt;=36,0,1),1,4)-WEEKDAY(DATE(YEAR(Config!$B$3)+IF($A133&gt;=36,0,1),1,4))+1+7*($A133-1)+7,"m/d/yy"))</f>
        <v>12/14/26 – 12/20/26</v>
      </c>
    </row>
    <row r="134" customFormat="false" ht="15" hidden="false" customHeight="false" outlineLevel="0" collapsed="false">
      <c r="A134" s="5" t="n">
        <v>51</v>
      </c>
      <c r="B134" s="5" t="n">
        <f aca="false">IF(COUNTIFS(Weekly_Local!$U:$U,"2022-23",Weekly_Local!$T:$T,$A134,Weekly_Local!$D:$D,"&lt;&gt;")=0,"",SUMIFS(Weekly_Local!$D:$D,Weekly_Local!$U:$U,"2022-23",Weekly_Local!$T:$T,$A134))</f>
        <v>1</v>
      </c>
      <c r="C134" s="5" t="n">
        <f aca="false">IF(COUNTIFS(Weekly_Local!$U:$U,"2023-24",Weekly_Local!$T:$T,$A134,Weekly_Local!$D:$D,"&lt;&gt;")=0,"",SUMIFS(Weekly_Local!$D:$D,Weekly_Local!$U:$U,"2023-24",Weekly_Local!$T:$T,$A134))</f>
        <v>6</v>
      </c>
      <c r="D134" s="5" t="n">
        <f aca="false">IF(COUNTIFS(Weekly_Local!$U:$U,"2024-25",Weekly_Local!$T:$T,$A134,Weekly_Local!$D:$D,"&lt;&gt;")=0,"",SUMIFS(Weekly_Local!$D:$D,Weekly_Local!$U:$U,"2024-25",Weekly_Local!$T:$T,$A134))</f>
        <v>0</v>
      </c>
      <c r="E134" s="5" t="n">
        <f aca="false">IF(COUNTIFS(Weekly_Local!$U:$U,"2025-26",Weekly_Local!$T:$T,$A134,Weekly_Local!$D:$D,"&lt;&gt;")=0,"",SUMIFS(Weekly_Local!$D:$D,Weekly_Local!$U:$U,"2025-26",Weekly_Local!$T:$T,$A134))</f>
        <v>2</v>
      </c>
      <c r="F134" s="5" t="str">
        <f aca="false">IF(COUNTIFS(Weekly_Local!$U:$U,"2026-27",Weekly_Local!$T:$T,$A134,Weekly_Local!$D:$D,"&lt;&gt;")=0,"",SUMIFS(Weekly_Local!$D:$D,Weekly_Local!$U:$U,"2026-27",Weekly_Local!$T:$T,$A134))</f>
        <v/>
      </c>
      <c r="G134" s="5" t="str">
        <f aca="false">IF(AND($A134=53,DATE(YEAR(Config!$B$3),1,4)-WEEKDAY(DATE(YEAR(Config!$B$3),1,4))+1+364&gt;=DATE(YEAR(Config!$B$3)+1,1,4)-WEEKDAY(DATE(YEAR(Config!$B$3)+1,1,4))+1),"",TEXT(DATE(YEAR(Config!$B$3)+IF($A134&gt;=36,0,1),1,4)-WEEKDAY(DATE(YEAR(Config!$B$3)+IF($A134&gt;=36,0,1),1,4))+1+7*($A134-1)+1,"m/d/yy")&amp;" – "&amp;TEXT(DATE(YEAR(Config!$B$3)+IF($A134&gt;=36,0,1),1,4)-WEEKDAY(DATE(YEAR(Config!$B$3)+IF($A134&gt;=36,0,1),1,4))+1+7*($A134-1)+7,"m/d/yy"))</f>
        <v>12/21/26 – 12/27/26</v>
      </c>
    </row>
    <row r="135" customFormat="false" ht="15" hidden="false" customHeight="false" outlineLevel="0" collapsed="false">
      <c r="A135" s="5" t="n">
        <v>52</v>
      </c>
      <c r="B135" s="5" t="n">
        <f aca="false">IF(COUNTIFS(Weekly_Local!$U:$U,"2022-23",Weekly_Local!$T:$T,$A135,Weekly_Local!$D:$D,"&lt;&gt;")=0,"",SUMIFS(Weekly_Local!$D:$D,Weekly_Local!$U:$U,"2022-23",Weekly_Local!$T:$T,$A135))</f>
        <v>0</v>
      </c>
      <c r="C135" s="5" t="n">
        <f aca="false">IF(COUNTIFS(Weekly_Local!$U:$U,"2023-24",Weekly_Local!$T:$T,$A135,Weekly_Local!$D:$D,"&lt;&gt;")=0,"",SUMIFS(Weekly_Local!$D:$D,Weekly_Local!$U:$U,"2023-24",Weekly_Local!$T:$T,$A135))</f>
        <v>5</v>
      </c>
      <c r="D135" s="5" t="n">
        <f aca="false">IF(COUNTIFS(Weekly_Local!$U:$U,"2024-25",Weekly_Local!$T:$T,$A135,Weekly_Local!$D:$D,"&lt;&gt;")=0,"",SUMIFS(Weekly_Local!$D:$D,Weekly_Local!$U:$U,"2024-25",Weekly_Local!$T:$T,$A135))</f>
        <v>4</v>
      </c>
      <c r="E135" s="5" t="n">
        <f aca="false">IF(COUNTIFS(Weekly_Local!$U:$U,"2025-26",Weekly_Local!$T:$T,$A135,Weekly_Local!$D:$D,"&lt;&gt;")=0,"",SUMIFS(Weekly_Local!$D:$D,Weekly_Local!$U:$U,"2025-26",Weekly_Local!$T:$T,$A135))</f>
        <v>1</v>
      </c>
      <c r="F135" s="5" t="str">
        <f aca="false">IF(COUNTIFS(Weekly_Local!$U:$U,"2026-27",Weekly_Local!$T:$T,$A135,Weekly_Local!$D:$D,"&lt;&gt;")=0,"",SUMIFS(Weekly_Local!$D:$D,Weekly_Local!$U:$U,"2026-27",Weekly_Local!$T:$T,$A135))</f>
        <v/>
      </c>
      <c r="G135" s="5" t="str">
        <f aca="false">IF(AND($A135=53,DATE(YEAR(Config!$B$3),1,4)-WEEKDAY(DATE(YEAR(Config!$B$3),1,4))+1+364&gt;=DATE(YEAR(Config!$B$3)+1,1,4)-WEEKDAY(DATE(YEAR(Config!$B$3)+1,1,4))+1),"",TEXT(DATE(YEAR(Config!$B$3)+IF($A135&gt;=36,0,1),1,4)-WEEKDAY(DATE(YEAR(Config!$B$3)+IF($A135&gt;=36,0,1),1,4))+1+7*($A135-1)+1,"m/d/yy")&amp;" – "&amp;TEXT(DATE(YEAR(Config!$B$3)+IF($A135&gt;=36,0,1),1,4)-WEEKDAY(DATE(YEAR(Config!$B$3)+IF($A135&gt;=36,0,1),1,4))+1+7*($A135-1)+7,"m/d/yy"))</f>
        <v>12/28/26 – 1/3/27</v>
      </c>
    </row>
    <row r="136" customFormat="false" ht="15" hidden="false" customHeight="false" outlineLevel="0" collapsed="false">
      <c r="A136" s="5" t="n">
        <v>53</v>
      </c>
      <c r="B136" s="5" t="str">
        <f aca="false">IF(COUNTIFS(Weekly_Local!$U:$U,"2022-23",Weekly_Local!$T:$T,$A136,Weekly_Local!$D:$D,"&lt;&gt;")=0,"",SUMIFS(Weekly_Local!$D:$D,Weekly_Local!$U:$U,"2022-23",Weekly_Local!$T:$T,$A136))</f>
        <v/>
      </c>
      <c r="C136" s="5" t="str">
        <f aca="false">IF(COUNTIFS(Weekly_Local!$U:$U,"2023-24",Weekly_Local!$T:$T,$A136,Weekly_Local!$D:$D,"&lt;&gt;")=0,"",SUMIFS(Weekly_Local!$D:$D,Weekly_Local!$U:$U,"2023-24",Weekly_Local!$T:$T,$A136))</f>
        <v/>
      </c>
      <c r="D136" s="5" t="str">
        <f aca="false">IF(COUNTIFS(Weekly_Local!$U:$U,"2024-25",Weekly_Local!$T:$T,$A136,Weekly_Local!$D:$D,"&lt;&gt;")=0,"",SUMIFS(Weekly_Local!$D:$D,Weekly_Local!$U:$U,"2024-25",Weekly_Local!$T:$T,$A136))</f>
        <v/>
      </c>
      <c r="E136" s="5" t="n">
        <f aca="false">IF(COUNTIFS(Weekly_Local!$U:$U,"2025-26",Weekly_Local!$T:$T,$A136,Weekly_Local!$D:$D,"&lt;&gt;")=0,"",SUMIFS(Weekly_Local!$D:$D,Weekly_Local!$U:$U,"2025-26",Weekly_Local!$T:$T,$A136))</f>
        <v>1</v>
      </c>
      <c r="F136" s="5" t="str">
        <f aca="false">IF(COUNTIFS(Weekly_Local!$U:$U,"2026-27",Weekly_Local!$T:$T,$A136,Weekly_Local!$D:$D,"&lt;&gt;")=0,"",SUMIFS(Weekly_Local!$D:$D,Weekly_Local!$U:$U,"2026-27",Weekly_Local!$T:$T,$A136))</f>
        <v/>
      </c>
      <c r="G136" s="5" t="str">
        <f aca="false">IF(AND($A136=53,DATE(YEAR(Config!$B$3),1,4)-WEEKDAY(DATE(YEAR(Config!$B$3),1,4))+1+364&gt;=DATE(YEAR(Config!$B$3)+1,1,4)-WEEKDAY(DATE(YEAR(Config!$B$3)+1,1,4))+1),"",TEXT(DATE(YEAR(Config!$B$3)+IF($A136&gt;=36,0,1),1,4)-WEEKDAY(DATE(YEAR(Config!$B$3)+IF($A136&gt;=36,0,1),1,4))+1+7*($A136-1)+1,"m/d/yy")&amp;" – "&amp;TEXT(DATE(YEAR(Config!$B$3)+IF($A136&gt;=36,0,1),1,4)-WEEKDAY(DATE(YEAR(Config!$B$3)+IF($A136&gt;=36,0,1),1,4))+1+7*($A136-1)+7,"m/d/yy"))</f>
        <v/>
      </c>
    </row>
    <row r="137" customFormat="false" ht="15" hidden="false" customHeight="false" outlineLevel="0" collapsed="false">
      <c r="A137" s="5" t="n">
        <v>1</v>
      </c>
      <c r="B137" s="5" t="n">
        <f aca="false">IF(COUNTIFS(Weekly_Local!$U:$U,"2022-23",Weekly_Local!$T:$T,$A137,Weekly_Local!$D:$D,"&lt;&gt;")=0,"",SUMIFS(Weekly_Local!$D:$D,Weekly_Local!$U:$U,"2022-23",Weekly_Local!$T:$T,$A137))</f>
        <v>1</v>
      </c>
      <c r="C137" s="5" t="n">
        <f aca="false">IF(COUNTIFS(Weekly_Local!$U:$U,"2023-24",Weekly_Local!$T:$T,$A137,Weekly_Local!$D:$D,"&lt;&gt;")=0,"",SUMIFS(Weekly_Local!$D:$D,Weekly_Local!$U:$U,"2023-24",Weekly_Local!$T:$T,$A137))</f>
        <v>4</v>
      </c>
      <c r="D137" s="5" t="n">
        <f aca="false">IF(COUNTIFS(Weekly_Local!$U:$U,"2024-25",Weekly_Local!$T:$T,$A137,Weekly_Local!$D:$D,"&lt;&gt;")=0,"",SUMIFS(Weekly_Local!$D:$D,Weekly_Local!$U:$U,"2024-25",Weekly_Local!$T:$T,$A137))</f>
        <v>4</v>
      </c>
      <c r="E137" s="5" t="n">
        <f aca="false">IF(COUNTIFS(Weekly_Local!$U:$U,"2025-26",Weekly_Local!$T:$T,$A137,Weekly_Local!$D:$D,"&lt;&gt;")=0,"",SUMIFS(Weekly_Local!$D:$D,Weekly_Local!$U:$U,"2025-26",Weekly_Local!$T:$T,$A137))</f>
        <v>2</v>
      </c>
      <c r="F137" s="5" t="str">
        <f aca="false">IF(COUNTIFS(Weekly_Local!$U:$U,"2026-27",Weekly_Local!$T:$T,$A137,Weekly_Local!$D:$D,"&lt;&gt;")=0,"",SUMIFS(Weekly_Local!$D:$D,Weekly_Local!$U:$U,"2026-27",Weekly_Local!$T:$T,$A137))</f>
        <v/>
      </c>
      <c r="G137" s="5" t="str">
        <f aca="false">IF(AND($A137=53,DATE(YEAR(Config!$B$3),1,4)-WEEKDAY(DATE(YEAR(Config!$B$3),1,4))+1+364&gt;=DATE(YEAR(Config!$B$3)+1,1,4)-WEEKDAY(DATE(YEAR(Config!$B$3)+1,1,4))+1),"",TEXT(DATE(YEAR(Config!$B$3)+IF($A137&gt;=36,0,1),1,4)-WEEKDAY(DATE(YEAR(Config!$B$3)+IF($A137&gt;=36,0,1),1,4))+1+7*($A137-1)+1,"m/d/yy")&amp;" – "&amp;TEXT(DATE(YEAR(Config!$B$3)+IF($A137&gt;=36,0,1),1,4)-WEEKDAY(DATE(YEAR(Config!$B$3)+IF($A137&gt;=36,0,1),1,4))+1+7*($A137-1)+7,"m/d/yy"))</f>
        <v>1/4/27 – 1/10/27</v>
      </c>
    </row>
    <row r="138" customFormat="false" ht="15" hidden="false" customHeight="false" outlineLevel="0" collapsed="false">
      <c r="A138" s="5" t="n">
        <v>2</v>
      </c>
      <c r="B138" s="5" t="n">
        <f aca="false">IF(COUNTIFS(Weekly_Local!$U:$U,"2022-23",Weekly_Local!$T:$T,$A138,Weekly_Local!$D:$D,"&lt;&gt;")=0,"",SUMIFS(Weekly_Local!$D:$D,Weekly_Local!$U:$U,"2022-23",Weekly_Local!$T:$T,$A138))</f>
        <v>0</v>
      </c>
      <c r="C138" s="5" t="n">
        <f aca="false">IF(COUNTIFS(Weekly_Local!$U:$U,"2023-24",Weekly_Local!$T:$T,$A138,Weekly_Local!$D:$D,"&lt;&gt;")=0,"",SUMIFS(Weekly_Local!$D:$D,Weekly_Local!$U:$U,"2023-24",Weekly_Local!$T:$T,$A138))</f>
        <v>10</v>
      </c>
      <c r="D138" s="5" t="n">
        <f aca="false">IF(COUNTIFS(Weekly_Local!$U:$U,"2024-25",Weekly_Local!$T:$T,$A138,Weekly_Local!$D:$D,"&lt;&gt;")=0,"",SUMIFS(Weekly_Local!$D:$D,Weekly_Local!$U:$U,"2024-25",Weekly_Local!$T:$T,$A138))</f>
        <v>1</v>
      </c>
      <c r="E138" s="5" t="n">
        <f aca="false">IF(COUNTIFS(Weekly_Local!$U:$U,"2025-26",Weekly_Local!$T:$T,$A138,Weekly_Local!$D:$D,"&lt;&gt;")=0,"",SUMIFS(Weekly_Local!$D:$D,Weekly_Local!$U:$U,"2025-26",Weekly_Local!$T:$T,$A138))</f>
        <v>0</v>
      </c>
      <c r="F138" s="5" t="str">
        <f aca="false">IF(COUNTIFS(Weekly_Local!$U:$U,"2026-27",Weekly_Local!$T:$T,$A138,Weekly_Local!$D:$D,"&lt;&gt;")=0,"",SUMIFS(Weekly_Local!$D:$D,Weekly_Local!$U:$U,"2026-27",Weekly_Local!$T:$T,$A138))</f>
        <v/>
      </c>
      <c r="G138" s="5" t="str">
        <f aca="false">IF(AND($A138=53,DATE(YEAR(Config!$B$3),1,4)-WEEKDAY(DATE(YEAR(Config!$B$3),1,4))+1+364&gt;=DATE(YEAR(Config!$B$3)+1,1,4)-WEEKDAY(DATE(YEAR(Config!$B$3)+1,1,4))+1),"",TEXT(DATE(YEAR(Config!$B$3)+IF($A138&gt;=36,0,1),1,4)-WEEKDAY(DATE(YEAR(Config!$B$3)+IF($A138&gt;=36,0,1),1,4))+1+7*($A138-1)+1,"m/d/yy")&amp;" – "&amp;TEXT(DATE(YEAR(Config!$B$3)+IF($A138&gt;=36,0,1),1,4)-WEEKDAY(DATE(YEAR(Config!$B$3)+IF($A138&gt;=36,0,1),1,4))+1+7*($A138-1)+7,"m/d/yy"))</f>
        <v>1/11/27 – 1/17/27</v>
      </c>
    </row>
    <row r="139" customFormat="false" ht="15" hidden="false" customHeight="false" outlineLevel="0" collapsed="false">
      <c r="A139" s="5" t="n">
        <v>3</v>
      </c>
      <c r="B139" s="5" t="n">
        <f aca="false">IF(COUNTIFS(Weekly_Local!$U:$U,"2022-23",Weekly_Local!$T:$T,$A139,Weekly_Local!$D:$D,"&lt;&gt;")=0,"",SUMIFS(Weekly_Local!$D:$D,Weekly_Local!$U:$U,"2022-23",Weekly_Local!$T:$T,$A139))</f>
        <v>0</v>
      </c>
      <c r="C139" s="5" t="n">
        <f aca="false">IF(COUNTIFS(Weekly_Local!$U:$U,"2023-24",Weekly_Local!$T:$T,$A139,Weekly_Local!$D:$D,"&lt;&gt;")=0,"",SUMIFS(Weekly_Local!$D:$D,Weekly_Local!$U:$U,"2023-24",Weekly_Local!$T:$T,$A139))</f>
        <v>10</v>
      </c>
      <c r="D139" s="5" t="n">
        <f aca="false">IF(COUNTIFS(Weekly_Local!$U:$U,"2024-25",Weekly_Local!$T:$T,$A139,Weekly_Local!$D:$D,"&lt;&gt;")=0,"",SUMIFS(Weekly_Local!$D:$D,Weekly_Local!$U:$U,"2024-25",Weekly_Local!$T:$T,$A139))</f>
        <v>1</v>
      </c>
      <c r="E139" s="5" t="n">
        <f aca="false">IF(COUNTIFS(Weekly_Local!$U:$U,"2025-26",Weekly_Local!$T:$T,$A139,Weekly_Local!$D:$D,"&lt;&gt;")=0,"",SUMIFS(Weekly_Local!$D:$D,Weekly_Local!$U:$U,"2025-26",Weekly_Local!$T:$T,$A139))</f>
        <v>4</v>
      </c>
      <c r="F139" s="5" t="str">
        <f aca="false">IF(COUNTIFS(Weekly_Local!$U:$U,"2026-27",Weekly_Local!$T:$T,$A139,Weekly_Local!$D:$D,"&lt;&gt;")=0,"",SUMIFS(Weekly_Local!$D:$D,Weekly_Local!$U:$U,"2026-27",Weekly_Local!$T:$T,$A139))</f>
        <v/>
      </c>
      <c r="G139" s="5" t="str">
        <f aca="false">IF(AND($A139=53,DATE(YEAR(Config!$B$3),1,4)-WEEKDAY(DATE(YEAR(Config!$B$3),1,4))+1+364&gt;=DATE(YEAR(Config!$B$3)+1,1,4)-WEEKDAY(DATE(YEAR(Config!$B$3)+1,1,4))+1),"",TEXT(DATE(YEAR(Config!$B$3)+IF($A139&gt;=36,0,1),1,4)-WEEKDAY(DATE(YEAR(Config!$B$3)+IF($A139&gt;=36,0,1),1,4))+1+7*($A139-1)+1,"m/d/yy")&amp;" – "&amp;TEXT(DATE(YEAR(Config!$B$3)+IF($A139&gt;=36,0,1),1,4)-WEEKDAY(DATE(YEAR(Config!$B$3)+IF($A139&gt;=36,0,1),1,4))+1+7*($A139-1)+7,"m/d/yy"))</f>
        <v>1/18/27 – 1/24/27</v>
      </c>
    </row>
    <row r="140" customFormat="false" ht="15" hidden="false" customHeight="false" outlineLevel="0" collapsed="false">
      <c r="A140" s="5" t="n">
        <v>4</v>
      </c>
      <c r="B140" s="5" t="n">
        <f aca="false">IF(COUNTIFS(Weekly_Local!$U:$U,"2022-23",Weekly_Local!$T:$T,$A140,Weekly_Local!$D:$D,"&lt;&gt;")=0,"",SUMIFS(Weekly_Local!$D:$D,Weekly_Local!$U:$U,"2022-23",Weekly_Local!$T:$T,$A140))</f>
        <v>0</v>
      </c>
      <c r="C140" s="5" t="n">
        <f aca="false">IF(COUNTIFS(Weekly_Local!$U:$U,"2023-24",Weekly_Local!$T:$T,$A140,Weekly_Local!$D:$D,"&lt;&gt;")=0,"",SUMIFS(Weekly_Local!$D:$D,Weekly_Local!$U:$U,"2023-24",Weekly_Local!$T:$T,$A140))</f>
        <v>5</v>
      </c>
      <c r="D140" s="5" t="n">
        <f aca="false">IF(COUNTIFS(Weekly_Local!$U:$U,"2024-25",Weekly_Local!$T:$T,$A140,Weekly_Local!$D:$D,"&lt;&gt;")=0,"",SUMIFS(Weekly_Local!$D:$D,Weekly_Local!$U:$U,"2024-25",Weekly_Local!$T:$T,$A140))</f>
        <v>6</v>
      </c>
      <c r="E140" s="5" t="n">
        <f aca="false">IF(COUNTIFS(Weekly_Local!$U:$U,"2025-26",Weekly_Local!$T:$T,$A140,Weekly_Local!$D:$D,"&lt;&gt;")=0,"",SUMIFS(Weekly_Local!$D:$D,Weekly_Local!$U:$U,"2025-26",Weekly_Local!$T:$T,$A140))</f>
        <v>1</v>
      </c>
      <c r="F140" s="5" t="str">
        <f aca="false">IF(COUNTIFS(Weekly_Local!$U:$U,"2026-27",Weekly_Local!$T:$T,$A140,Weekly_Local!$D:$D,"&lt;&gt;")=0,"",SUMIFS(Weekly_Local!$D:$D,Weekly_Local!$U:$U,"2026-27",Weekly_Local!$T:$T,$A140))</f>
        <v/>
      </c>
      <c r="G140" s="5" t="str">
        <f aca="false">IF(AND($A140=53,DATE(YEAR(Config!$B$3),1,4)-WEEKDAY(DATE(YEAR(Config!$B$3),1,4))+1+364&gt;=DATE(YEAR(Config!$B$3)+1,1,4)-WEEKDAY(DATE(YEAR(Config!$B$3)+1,1,4))+1),"",TEXT(DATE(YEAR(Config!$B$3)+IF($A140&gt;=36,0,1),1,4)-WEEKDAY(DATE(YEAR(Config!$B$3)+IF($A140&gt;=36,0,1),1,4))+1+7*($A140-1)+1,"m/d/yy")&amp;" – "&amp;TEXT(DATE(YEAR(Config!$B$3)+IF($A140&gt;=36,0,1),1,4)-WEEKDAY(DATE(YEAR(Config!$B$3)+IF($A140&gt;=36,0,1),1,4))+1+7*($A140-1)+7,"m/d/yy"))</f>
        <v>1/25/27 – 1/31/27</v>
      </c>
    </row>
    <row r="141" customFormat="false" ht="15" hidden="false" customHeight="false" outlineLevel="0" collapsed="false">
      <c r="A141" s="5" t="n">
        <v>5</v>
      </c>
      <c r="B141" s="5" t="n">
        <f aca="false">IF(COUNTIFS(Weekly_Local!$U:$U,"2022-23",Weekly_Local!$T:$T,$A141,Weekly_Local!$D:$D,"&lt;&gt;")=0,"",SUMIFS(Weekly_Local!$D:$D,Weekly_Local!$U:$U,"2022-23",Weekly_Local!$T:$T,$A141))</f>
        <v>0</v>
      </c>
      <c r="C141" s="5" t="n">
        <f aca="false">IF(COUNTIFS(Weekly_Local!$U:$U,"2023-24",Weekly_Local!$T:$T,$A141,Weekly_Local!$D:$D,"&lt;&gt;")=0,"",SUMIFS(Weekly_Local!$D:$D,Weekly_Local!$U:$U,"2023-24",Weekly_Local!$T:$T,$A141))</f>
        <v>4</v>
      </c>
      <c r="D141" s="5" t="n">
        <f aca="false">IF(COUNTIFS(Weekly_Local!$U:$U,"2024-25",Weekly_Local!$T:$T,$A141,Weekly_Local!$D:$D,"&lt;&gt;")=0,"",SUMIFS(Weekly_Local!$D:$D,Weekly_Local!$U:$U,"2024-25",Weekly_Local!$T:$T,$A141))</f>
        <v>12</v>
      </c>
      <c r="E141" s="5" t="n">
        <f aca="false">IF(COUNTIFS(Weekly_Local!$U:$U,"2025-26",Weekly_Local!$T:$T,$A141,Weekly_Local!$D:$D,"&lt;&gt;")=0,"",SUMIFS(Weekly_Local!$D:$D,Weekly_Local!$U:$U,"2025-26",Weekly_Local!$T:$T,$A141))</f>
        <v>6</v>
      </c>
      <c r="F141" s="5" t="str">
        <f aca="false">IF(COUNTIFS(Weekly_Local!$U:$U,"2026-27",Weekly_Local!$T:$T,$A141,Weekly_Local!$D:$D,"&lt;&gt;")=0,"",SUMIFS(Weekly_Local!$D:$D,Weekly_Local!$U:$U,"2026-27",Weekly_Local!$T:$T,$A141))</f>
        <v/>
      </c>
      <c r="G141" s="5" t="str">
        <f aca="false">IF(AND($A141=53,DATE(YEAR(Config!$B$3),1,4)-WEEKDAY(DATE(YEAR(Config!$B$3),1,4))+1+364&gt;=DATE(YEAR(Config!$B$3)+1,1,4)-WEEKDAY(DATE(YEAR(Config!$B$3)+1,1,4))+1),"",TEXT(DATE(YEAR(Config!$B$3)+IF($A141&gt;=36,0,1),1,4)-WEEKDAY(DATE(YEAR(Config!$B$3)+IF($A141&gt;=36,0,1),1,4))+1+7*($A141-1)+1,"m/d/yy")&amp;" – "&amp;TEXT(DATE(YEAR(Config!$B$3)+IF($A141&gt;=36,0,1),1,4)-WEEKDAY(DATE(YEAR(Config!$B$3)+IF($A141&gt;=36,0,1),1,4))+1+7*($A141-1)+7,"m/d/yy"))</f>
        <v>2/1/27 – 2/7/27</v>
      </c>
    </row>
    <row r="142" customFormat="false" ht="15" hidden="false" customHeight="false" outlineLevel="0" collapsed="false">
      <c r="A142" s="5" t="n">
        <v>6</v>
      </c>
      <c r="B142" s="5" t="n">
        <f aca="false">IF(COUNTIFS(Weekly_Local!$U:$U,"2022-23",Weekly_Local!$T:$T,$A142,Weekly_Local!$D:$D,"&lt;&gt;")=0,"",SUMIFS(Weekly_Local!$D:$D,Weekly_Local!$U:$U,"2022-23",Weekly_Local!$T:$T,$A142))</f>
        <v>0</v>
      </c>
      <c r="C142" s="5" t="n">
        <f aca="false">IF(COUNTIFS(Weekly_Local!$U:$U,"2023-24",Weekly_Local!$T:$T,$A142,Weekly_Local!$D:$D,"&lt;&gt;")=0,"",SUMIFS(Weekly_Local!$D:$D,Weekly_Local!$U:$U,"2023-24",Weekly_Local!$T:$T,$A142))</f>
        <v>5</v>
      </c>
      <c r="D142" s="5" t="n">
        <f aca="false">IF(COUNTIFS(Weekly_Local!$U:$U,"2024-25",Weekly_Local!$T:$T,$A142,Weekly_Local!$D:$D,"&lt;&gt;")=0,"",SUMIFS(Weekly_Local!$D:$D,Weekly_Local!$U:$U,"2024-25",Weekly_Local!$T:$T,$A142))</f>
        <v>7</v>
      </c>
      <c r="E142" s="5" t="n">
        <f aca="false">IF(COUNTIFS(Weekly_Local!$U:$U,"2025-26",Weekly_Local!$T:$T,$A142,Weekly_Local!$D:$D,"&lt;&gt;")=0,"",SUMIFS(Weekly_Local!$D:$D,Weekly_Local!$U:$U,"2025-26",Weekly_Local!$T:$T,$A142))</f>
        <v>10</v>
      </c>
      <c r="F142" s="5" t="str">
        <f aca="false">IF(COUNTIFS(Weekly_Local!$U:$U,"2026-27",Weekly_Local!$T:$T,$A142,Weekly_Local!$D:$D,"&lt;&gt;")=0,"",SUMIFS(Weekly_Local!$D:$D,Weekly_Local!$U:$U,"2026-27",Weekly_Local!$T:$T,$A142))</f>
        <v/>
      </c>
      <c r="G142" s="5" t="str">
        <f aca="false">IF(AND($A142=53,DATE(YEAR(Config!$B$3),1,4)-WEEKDAY(DATE(YEAR(Config!$B$3),1,4))+1+364&gt;=DATE(YEAR(Config!$B$3)+1,1,4)-WEEKDAY(DATE(YEAR(Config!$B$3)+1,1,4))+1),"",TEXT(DATE(YEAR(Config!$B$3)+IF($A142&gt;=36,0,1),1,4)-WEEKDAY(DATE(YEAR(Config!$B$3)+IF($A142&gt;=36,0,1),1,4))+1+7*($A142-1)+1,"m/d/yy")&amp;" – "&amp;TEXT(DATE(YEAR(Config!$B$3)+IF($A142&gt;=36,0,1),1,4)-WEEKDAY(DATE(YEAR(Config!$B$3)+IF($A142&gt;=36,0,1),1,4))+1+7*($A142-1)+7,"m/d/yy"))</f>
        <v>2/8/27 – 2/14/27</v>
      </c>
    </row>
    <row r="143" customFormat="false" ht="15" hidden="false" customHeight="false" outlineLevel="0" collapsed="false">
      <c r="A143" s="5" t="n">
        <v>7</v>
      </c>
      <c r="B143" s="5" t="n">
        <f aca="false">IF(COUNTIFS(Weekly_Local!$U:$U,"2022-23",Weekly_Local!$T:$T,$A143,Weekly_Local!$D:$D,"&lt;&gt;")=0,"",SUMIFS(Weekly_Local!$D:$D,Weekly_Local!$U:$U,"2022-23",Weekly_Local!$T:$T,$A143))</f>
        <v>0</v>
      </c>
      <c r="C143" s="5" t="n">
        <f aca="false">IF(COUNTIFS(Weekly_Local!$U:$U,"2023-24",Weekly_Local!$T:$T,$A143,Weekly_Local!$D:$D,"&lt;&gt;")=0,"",SUMIFS(Weekly_Local!$D:$D,Weekly_Local!$U:$U,"2023-24",Weekly_Local!$T:$T,$A143))</f>
        <v>1</v>
      </c>
      <c r="D143" s="5" t="n">
        <f aca="false">IF(COUNTIFS(Weekly_Local!$U:$U,"2024-25",Weekly_Local!$T:$T,$A143,Weekly_Local!$D:$D,"&lt;&gt;")=0,"",SUMIFS(Weekly_Local!$D:$D,Weekly_Local!$U:$U,"2024-25",Weekly_Local!$T:$T,$A143))</f>
        <v>2</v>
      </c>
      <c r="E143" s="5" t="n">
        <f aca="false">IF(COUNTIFS(Weekly_Local!$U:$U,"2025-26",Weekly_Local!$T:$T,$A143,Weekly_Local!$D:$D,"&lt;&gt;")=0,"",SUMIFS(Weekly_Local!$D:$D,Weekly_Local!$U:$U,"2025-26",Weekly_Local!$T:$T,$A143))</f>
        <v>5</v>
      </c>
      <c r="F143" s="5" t="str">
        <f aca="false">IF(COUNTIFS(Weekly_Local!$U:$U,"2026-27",Weekly_Local!$T:$T,$A143,Weekly_Local!$D:$D,"&lt;&gt;")=0,"",SUMIFS(Weekly_Local!$D:$D,Weekly_Local!$U:$U,"2026-27",Weekly_Local!$T:$T,$A143))</f>
        <v/>
      </c>
      <c r="G143" s="5" t="str">
        <f aca="false">IF(AND($A143=53,DATE(YEAR(Config!$B$3),1,4)-WEEKDAY(DATE(YEAR(Config!$B$3),1,4))+1+364&gt;=DATE(YEAR(Config!$B$3)+1,1,4)-WEEKDAY(DATE(YEAR(Config!$B$3)+1,1,4))+1),"",TEXT(DATE(YEAR(Config!$B$3)+IF($A143&gt;=36,0,1),1,4)-WEEKDAY(DATE(YEAR(Config!$B$3)+IF($A143&gt;=36,0,1),1,4))+1+7*($A143-1)+1,"m/d/yy")&amp;" – "&amp;TEXT(DATE(YEAR(Config!$B$3)+IF($A143&gt;=36,0,1),1,4)-WEEKDAY(DATE(YEAR(Config!$B$3)+IF($A143&gt;=36,0,1),1,4))+1+7*($A143-1)+7,"m/d/yy"))</f>
        <v>2/15/27 – 2/21/27</v>
      </c>
    </row>
    <row r="144" customFormat="false" ht="15" hidden="false" customHeight="false" outlineLevel="0" collapsed="false">
      <c r="A144" s="5" t="n">
        <v>8</v>
      </c>
      <c r="B144" s="5" t="n">
        <f aca="false">IF(COUNTIFS(Weekly_Local!$U:$U,"2022-23",Weekly_Local!$T:$T,$A144,Weekly_Local!$D:$D,"&lt;&gt;")=0,"",SUMIFS(Weekly_Local!$D:$D,Weekly_Local!$U:$U,"2022-23",Weekly_Local!$T:$T,$A144))</f>
        <v>0</v>
      </c>
      <c r="C144" s="5" t="n">
        <f aca="false">IF(COUNTIFS(Weekly_Local!$U:$U,"2023-24",Weekly_Local!$T:$T,$A144,Weekly_Local!$D:$D,"&lt;&gt;")=0,"",SUMIFS(Weekly_Local!$D:$D,Weekly_Local!$U:$U,"2023-24",Weekly_Local!$T:$T,$A144))</f>
        <v>1</v>
      </c>
      <c r="D144" s="5" t="n">
        <f aca="false">IF(COUNTIFS(Weekly_Local!$U:$U,"2024-25",Weekly_Local!$T:$T,$A144,Weekly_Local!$D:$D,"&lt;&gt;")=0,"",SUMIFS(Weekly_Local!$D:$D,Weekly_Local!$U:$U,"2024-25",Weekly_Local!$T:$T,$A144))</f>
        <v>11</v>
      </c>
      <c r="E144" s="5" t="n">
        <f aca="false">IF(COUNTIFS(Weekly_Local!$U:$U,"2025-26",Weekly_Local!$T:$T,$A144,Weekly_Local!$D:$D,"&lt;&gt;")=0,"",SUMIFS(Weekly_Local!$D:$D,Weekly_Local!$U:$U,"2025-26",Weekly_Local!$T:$T,$A144))</f>
        <v>4</v>
      </c>
      <c r="F144" s="5" t="str">
        <f aca="false">IF(COUNTIFS(Weekly_Local!$U:$U,"2026-27",Weekly_Local!$T:$T,$A144,Weekly_Local!$D:$D,"&lt;&gt;")=0,"",SUMIFS(Weekly_Local!$D:$D,Weekly_Local!$U:$U,"2026-27",Weekly_Local!$T:$T,$A144))</f>
        <v/>
      </c>
      <c r="G144" s="5" t="str">
        <f aca="false">IF(AND($A144=53,DATE(YEAR(Config!$B$3),1,4)-WEEKDAY(DATE(YEAR(Config!$B$3),1,4))+1+364&gt;=DATE(YEAR(Config!$B$3)+1,1,4)-WEEKDAY(DATE(YEAR(Config!$B$3)+1,1,4))+1),"",TEXT(DATE(YEAR(Config!$B$3)+IF($A144&gt;=36,0,1),1,4)-WEEKDAY(DATE(YEAR(Config!$B$3)+IF($A144&gt;=36,0,1),1,4))+1+7*($A144-1)+1,"m/d/yy")&amp;" – "&amp;TEXT(DATE(YEAR(Config!$B$3)+IF($A144&gt;=36,0,1),1,4)-WEEKDAY(DATE(YEAR(Config!$B$3)+IF($A144&gt;=36,0,1),1,4))+1+7*($A144-1)+7,"m/d/yy"))</f>
        <v>2/22/27 – 2/28/27</v>
      </c>
    </row>
    <row r="145" customFormat="false" ht="15" hidden="false" customHeight="false" outlineLevel="0" collapsed="false">
      <c r="A145" s="5" t="n">
        <v>9</v>
      </c>
      <c r="B145" s="5" t="n">
        <f aca="false">IF(COUNTIFS(Weekly_Local!$U:$U,"2022-23",Weekly_Local!$T:$T,$A145,Weekly_Local!$D:$D,"&lt;&gt;")=0,"",SUMIFS(Weekly_Local!$D:$D,Weekly_Local!$U:$U,"2022-23",Weekly_Local!$T:$T,$A145))</f>
        <v>0</v>
      </c>
      <c r="C145" s="5" t="n">
        <f aca="false">IF(COUNTIFS(Weekly_Local!$U:$U,"2023-24",Weekly_Local!$T:$T,$A145,Weekly_Local!$D:$D,"&lt;&gt;")=0,"",SUMIFS(Weekly_Local!$D:$D,Weekly_Local!$U:$U,"2023-24",Weekly_Local!$T:$T,$A145))</f>
        <v>2</v>
      </c>
      <c r="D145" s="5" t="n">
        <f aca="false">IF(COUNTIFS(Weekly_Local!$U:$U,"2024-25",Weekly_Local!$T:$T,$A145,Weekly_Local!$D:$D,"&lt;&gt;")=0,"",SUMIFS(Weekly_Local!$D:$D,Weekly_Local!$U:$U,"2024-25",Weekly_Local!$T:$T,$A145))</f>
        <v>3</v>
      </c>
      <c r="E145" s="5" t="n">
        <f aca="false">IF(COUNTIFS(Weekly_Local!$U:$U,"2025-26",Weekly_Local!$T:$T,$A145,Weekly_Local!$D:$D,"&lt;&gt;")=0,"",SUMIFS(Weekly_Local!$D:$D,Weekly_Local!$U:$U,"2025-26",Weekly_Local!$T:$T,$A145))</f>
        <v>6</v>
      </c>
      <c r="F145" s="5" t="str">
        <f aca="false">IF(COUNTIFS(Weekly_Local!$U:$U,"2026-27",Weekly_Local!$T:$T,$A145,Weekly_Local!$D:$D,"&lt;&gt;")=0,"",SUMIFS(Weekly_Local!$D:$D,Weekly_Local!$U:$U,"2026-27",Weekly_Local!$T:$T,$A145))</f>
        <v/>
      </c>
      <c r="G145" s="5" t="str">
        <f aca="false">IF(AND($A145=53,DATE(YEAR(Config!$B$3),1,4)-WEEKDAY(DATE(YEAR(Config!$B$3),1,4))+1+364&gt;=DATE(YEAR(Config!$B$3)+1,1,4)-WEEKDAY(DATE(YEAR(Config!$B$3)+1,1,4))+1),"",TEXT(DATE(YEAR(Config!$B$3)+IF($A145&gt;=36,0,1),1,4)-WEEKDAY(DATE(YEAR(Config!$B$3)+IF($A145&gt;=36,0,1),1,4))+1+7*($A145-1)+1,"m/d/yy")&amp;" – "&amp;TEXT(DATE(YEAR(Config!$B$3)+IF($A145&gt;=36,0,1),1,4)-WEEKDAY(DATE(YEAR(Config!$B$3)+IF($A145&gt;=36,0,1),1,4))+1+7*($A145-1)+7,"m/d/yy"))</f>
        <v>3/1/27 – 3/7/27</v>
      </c>
    </row>
    <row r="146" customFormat="false" ht="15" hidden="false" customHeight="false" outlineLevel="0" collapsed="false">
      <c r="A146" s="5" t="n">
        <v>10</v>
      </c>
      <c r="B146" s="5" t="n">
        <f aca="false">IF(COUNTIFS(Weekly_Local!$U:$U,"2022-23",Weekly_Local!$T:$T,$A146,Weekly_Local!$D:$D,"&lt;&gt;")=0,"",SUMIFS(Weekly_Local!$D:$D,Weekly_Local!$U:$U,"2022-23",Weekly_Local!$T:$T,$A146))</f>
        <v>0</v>
      </c>
      <c r="C146" s="5" t="n">
        <f aca="false">IF(COUNTIFS(Weekly_Local!$U:$U,"2023-24",Weekly_Local!$T:$T,$A146,Weekly_Local!$D:$D,"&lt;&gt;")=0,"",SUMIFS(Weekly_Local!$D:$D,Weekly_Local!$U:$U,"2023-24",Weekly_Local!$T:$T,$A146))</f>
        <v>0</v>
      </c>
      <c r="D146" s="5" t="n">
        <f aca="false">IF(COUNTIFS(Weekly_Local!$U:$U,"2024-25",Weekly_Local!$T:$T,$A146,Weekly_Local!$D:$D,"&lt;&gt;")=0,"",SUMIFS(Weekly_Local!$D:$D,Weekly_Local!$U:$U,"2024-25",Weekly_Local!$T:$T,$A146))</f>
        <v>8</v>
      </c>
      <c r="E146" s="5" t="n">
        <f aca="false">IF(COUNTIFS(Weekly_Local!$U:$U,"2025-26",Weekly_Local!$T:$T,$A146,Weekly_Local!$D:$D,"&lt;&gt;")=0,"",SUMIFS(Weekly_Local!$D:$D,Weekly_Local!$U:$U,"2025-26",Weekly_Local!$T:$T,$A146))</f>
        <v>0</v>
      </c>
      <c r="F146" s="5" t="str">
        <f aca="false">IF(COUNTIFS(Weekly_Local!$U:$U,"2026-27",Weekly_Local!$T:$T,$A146,Weekly_Local!$D:$D,"&lt;&gt;")=0,"",SUMIFS(Weekly_Local!$D:$D,Weekly_Local!$U:$U,"2026-27",Weekly_Local!$T:$T,$A146))</f>
        <v/>
      </c>
      <c r="G146" s="5" t="str">
        <f aca="false">IF(AND($A146=53,DATE(YEAR(Config!$B$3),1,4)-WEEKDAY(DATE(YEAR(Config!$B$3),1,4))+1+364&gt;=DATE(YEAR(Config!$B$3)+1,1,4)-WEEKDAY(DATE(YEAR(Config!$B$3)+1,1,4))+1),"",TEXT(DATE(YEAR(Config!$B$3)+IF($A146&gt;=36,0,1),1,4)-WEEKDAY(DATE(YEAR(Config!$B$3)+IF($A146&gt;=36,0,1),1,4))+1+7*($A146-1)+1,"m/d/yy")&amp;" – "&amp;TEXT(DATE(YEAR(Config!$B$3)+IF($A146&gt;=36,0,1),1,4)-WEEKDAY(DATE(YEAR(Config!$B$3)+IF($A146&gt;=36,0,1),1,4))+1+7*($A146-1)+7,"m/d/yy"))</f>
        <v>3/8/27 – 3/14/27</v>
      </c>
    </row>
    <row r="147" customFormat="false" ht="15" hidden="false" customHeight="false" outlineLevel="0" collapsed="false">
      <c r="A147" s="5" t="n">
        <v>11</v>
      </c>
      <c r="B147" s="5" t="n">
        <f aca="false">IF(COUNTIFS(Weekly_Local!$U:$U,"2022-23",Weekly_Local!$T:$T,$A147,Weekly_Local!$D:$D,"&lt;&gt;")=0,"",SUMIFS(Weekly_Local!$D:$D,Weekly_Local!$U:$U,"2022-23",Weekly_Local!$T:$T,$A147))</f>
        <v>0</v>
      </c>
      <c r="C147" s="5" t="n">
        <f aca="false">IF(COUNTIFS(Weekly_Local!$U:$U,"2023-24",Weekly_Local!$T:$T,$A147,Weekly_Local!$D:$D,"&lt;&gt;")=0,"",SUMIFS(Weekly_Local!$D:$D,Weekly_Local!$U:$U,"2023-24",Weekly_Local!$T:$T,$A147))</f>
        <v>1</v>
      </c>
      <c r="D147" s="5" t="n">
        <f aca="false">IF(COUNTIFS(Weekly_Local!$U:$U,"2024-25",Weekly_Local!$T:$T,$A147,Weekly_Local!$D:$D,"&lt;&gt;")=0,"",SUMIFS(Weekly_Local!$D:$D,Weekly_Local!$U:$U,"2024-25",Weekly_Local!$T:$T,$A147))</f>
        <v>2</v>
      </c>
      <c r="E147" s="5" t="n">
        <f aca="false">IF(COUNTIFS(Weekly_Local!$U:$U,"2025-26",Weekly_Local!$T:$T,$A147,Weekly_Local!$D:$D,"&lt;&gt;")=0,"",SUMIFS(Weekly_Local!$D:$D,Weekly_Local!$U:$U,"2025-26",Weekly_Local!$T:$T,$A147))</f>
        <v>2</v>
      </c>
      <c r="F147" s="5" t="str">
        <f aca="false">IF(COUNTIFS(Weekly_Local!$U:$U,"2026-27",Weekly_Local!$T:$T,$A147,Weekly_Local!$D:$D,"&lt;&gt;")=0,"",SUMIFS(Weekly_Local!$D:$D,Weekly_Local!$U:$U,"2026-27",Weekly_Local!$T:$T,$A147))</f>
        <v/>
      </c>
      <c r="G147" s="5" t="str">
        <f aca="false">IF(AND($A147=53,DATE(YEAR(Config!$B$3),1,4)-WEEKDAY(DATE(YEAR(Config!$B$3),1,4))+1+364&gt;=DATE(YEAR(Config!$B$3)+1,1,4)-WEEKDAY(DATE(YEAR(Config!$B$3)+1,1,4))+1),"",TEXT(DATE(YEAR(Config!$B$3)+IF($A147&gt;=36,0,1),1,4)-WEEKDAY(DATE(YEAR(Config!$B$3)+IF($A147&gt;=36,0,1),1,4))+1+7*($A147-1)+1,"m/d/yy")&amp;" – "&amp;TEXT(DATE(YEAR(Config!$B$3)+IF($A147&gt;=36,0,1),1,4)-WEEKDAY(DATE(YEAR(Config!$B$3)+IF($A147&gt;=36,0,1),1,4))+1+7*($A147-1)+7,"m/d/yy"))</f>
        <v>3/15/27 – 3/21/27</v>
      </c>
    </row>
    <row r="148" customFormat="false" ht="15" hidden="false" customHeight="false" outlineLevel="0" collapsed="false">
      <c r="A148" s="5" t="n">
        <v>12</v>
      </c>
      <c r="B148" s="5" t="n">
        <f aca="false">IF(COUNTIFS(Weekly_Local!$U:$U,"2022-23",Weekly_Local!$T:$T,$A148,Weekly_Local!$D:$D,"&lt;&gt;")=0,"",SUMIFS(Weekly_Local!$D:$D,Weekly_Local!$U:$U,"2022-23",Weekly_Local!$T:$T,$A148))</f>
        <v>0</v>
      </c>
      <c r="C148" s="5" t="n">
        <f aca="false">IF(COUNTIFS(Weekly_Local!$U:$U,"2023-24",Weekly_Local!$T:$T,$A148,Weekly_Local!$D:$D,"&lt;&gt;")=0,"",SUMIFS(Weekly_Local!$D:$D,Weekly_Local!$U:$U,"2023-24",Weekly_Local!$T:$T,$A148))</f>
        <v>2</v>
      </c>
      <c r="D148" s="5" t="n">
        <f aca="false">IF(COUNTIFS(Weekly_Local!$U:$U,"2024-25",Weekly_Local!$T:$T,$A148,Weekly_Local!$D:$D,"&lt;&gt;")=0,"",SUMIFS(Weekly_Local!$D:$D,Weekly_Local!$U:$U,"2024-25",Weekly_Local!$T:$T,$A148))</f>
        <v>2</v>
      </c>
      <c r="E148" s="5" t="n">
        <f aca="false">IF(COUNTIFS(Weekly_Local!$U:$U,"2025-26",Weekly_Local!$T:$T,$A148,Weekly_Local!$D:$D,"&lt;&gt;")=0,"",SUMIFS(Weekly_Local!$D:$D,Weekly_Local!$U:$U,"2025-26",Weekly_Local!$T:$T,$A148))</f>
        <v>1</v>
      </c>
      <c r="F148" s="5" t="str">
        <f aca="false">IF(COUNTIFS(Weekly_Local!$U:$U,"2026-27",Weekly_Local!$T:$T,$A148,Weekly_Local!$D:$D,"&lt;&gt;")=0,"",SUMIFS(Weekly_Local!$D:$D,Weekly_Local!$U:$U,"2026-27",Weekly_Local!$T:$T,$A148))</f>
        <v/>
      </c>
      <c r="G148" s="5" t="str">
        <f aca="false">IF(AND($A148=53,DATE(YEAR(Config!$B$3),1,4)-WEEKDAY(DATE(YEAR(Config!$B$3),1,4))+1+364&gt;=DATE(YEAR(Config!$B$3)+1,1,4)-WEEKDAY(DATE(YEAR(Config!$B$3)+1,1,4))+1),"",TEXT(DATE(YEAR(Config!$B$3)+IF($A148&gt;=36,0,1),1,4)-WEEKDAY(DATE(YEAR(Config!$B$3)+IF($A148&gt;=36,0,1),1,4))+1+7*($A148-1)+1,"m/d/yy")&amp;" – "&amp;TEXT(DATE(YEAR(Config!$B$3)+IF($A148&gt;=36,0,1),1,4)-WEEKDAY(DATE(YEAR(Config!$B$3)+IF($A148&gt;=36,0,1),1,4))+1+7*($A148-1)+7,"m/d/yy"))</f>
        <v>3/22/27 – 3/28/27</v>
      </c>
    </row>
    <row r="149" customFormat="false" ht="15" hidden="false" customHeight="false" outlineLevel="0" collapsed="false">
      <c r="A149" s="5" t="n">
        <v>13</v>
      </c>
      <c r="B149" s="5" t="n">
        <f aca="false">IF(COUNTIFS(Weekly_Local!$U:$U,"2022-23",Weekly_Local!$T:$T,$A149,Weekly_Local!$D:$D,"&lt;&gt;")=0,"",SUMIFS(Weekly_Local!$D:$D,Weekly_Local!$U:$U,"2022-23",Weekly_Local!$T:$T,$A149))</f>
        <v>0</v>
      </c>
      <c r="C149" s="5" t="n">
        <f aca="false">IF(COUNTIFS(Weekly_Local!$U:$U,"2023-24",Weekly_Local!$T:$T,$A149,Weekly_Local!$D:$D,"&lt;&gt;")=0,"",SUMIFS(Weekly_Local!$D:$D,Weekly_Local!$U:$U,"2023-24",Weekly_Local!$T:$T,$A149))</f>
        <v>1</v>
      </c>
      <c r="D149" s="5" t="n">
        <f aca="false">IF(COUNTIFS(Weekly_Local!$U:$U,"2024-25",Weekly_Local!$T:$T,$A149,Weekly_Local!$D:$D,"&lt;&gt;")=0,"",SUMIFS(Weekly_Local!$D:$D,Weekly_Local!$U:$U,"2024-25",Weekly_Local!$T:$T,$A149))</f>
        <v>0</v>
      </c>
      <c r="E149" s="5" t="n">
        <f aca="false">IF(COUNTIFS(Weekly_Local!$U:$U,"2025-26",Weekly_Local!$T:$T,$A149,Weekly_Local!$D:$D,"&lt;&gt;")=0,"",SUMIFS(Weekly_Local!$D:$D,Weekly_Local!$U:$U,"2025-26",Weekly_Local!$T:$T,$A149))</f>
        <v>0</v>
      </c>
      <c r="F149" s="5" t="str">
        <f aca="false">IF(COUNTIFS(Weekly_Local!$U:$U,"2026-27",Weekly_Local!$T:$T,$A149,Weekly_Local!$D:$D,"&lt;&gt;")=0,"",SUMIFS(Weekly_Local!$D:$D,Weekly_Local!$U:$U,"2026-27",Weekly_Local!$T:$T,$A149))</f>
        <v/>
      </c>
      <c r="G149" s="5" t="str">
        <f aca="false">IF(AND($A149=53,DATE(YEAR(Config!$B$3),1,4)-WEEKDAY(DATE(YEAR(Config!$B$3),1,4))+1+364&gt;=DATE(YEAR(Config!$B$3)+1,1,4)-WEEKDAY(DATE(YEAR(Config!$B$3)+1,1,4))+1),"",TEXT(DATE(YEAR(Config!$B$3)+IF($A149&gt;=36,0,1),1,4)-WEEKDAY(DATE(YEAR(Config!$B$3)+IF($A149&gt;=36,0,1),1,4))+1+7*($A149-1)+1,"m/d/yy")&amp;" – "&amp;TEXT(DATE(YEAR(Config!$B$3)+IF($A149&gt;=36,0,1),1,4)-WEEKDAY(DATE(YEAR(Config!$B$3)+IF($A149&gt;=36,0,1),1,4))+1+7*($A149-1)+7,"m/d/yy"))</f>
        <v>3/29/27 – 4/4/27</v>
      </c>
    </row>
    <row r="150" customFormat="false" ht="15" hidden="false" customHeight="false" outlineLevel="0" collapsed="false">
      <c r="A150" s="5" t="n">
        <v>14</v>
      </c>
      <c r="B150" s="5" t="n">
        <f aca="false">IF(COUNTIFS(Weekly_Local!$U:$U,"2022-23",Weekly_Local!$T:$T,$A150,Weekly_Local!$D:$D,"&lt;&gt;")=0,"",SUMIFS(Weekly_Local!$D:$D,Weekly_Local!$U:$U,"2022-23",Weekly_Local!$T:$T,$A150))</f>
        <v>0</v>
      </c>
      <c r="C150" s="5" t="n">
        <f aca="false">IF(COUNTIFS(Weekly_Local!$U:$U,"2023-24",Weekly_Local!$T:$T,$A150,Weekly_Local!$D:$D,"&lt;&gt;")=0,"",SUMIFS(Weekly_Local!$D:$D,Weekly_Local!$U:$U,"2023-24",Weekly_Local!$T:$T,$A150))</f>
        <v>1</v>
      </c>
      <c r="D150" s="5" t="n">
        <f aca="false">IF(COUNTIFS(Weekly_Local!$U:$U,"2024-25",Weekly_Local!$T:$T,$A150,Weekly_Local!$D:$D,"&lt;&gt;")=0,"",SUMIFS(Weekly_Local!$D:$D,Weekly_Local!$U:$U,"2024-25",Weekly_Local!$T:$T,$A150))</f>
        <v>0</v>
      </c>
      <c r="E150" s="5" t="n">
        <f aca="false">IF(COUNTIFS(Weekly_Local!$U:$U,"2025-26",Weekly_Local!$T:$T,$A150,Weekly_Local!$D:$D,"&lt;&gt;")=0,"",SUMIFS(Weekly_Local!$D:$D,Weekly_Local!$U:$U,"2025-26",Weekly_Local!$T:$T,$A150))</f>
        <v>1</v>
      </c>
      <c r="F150" s="5" t="str">
        <f aca="false">IF(COUNTIFS(Weekly_Local!$U:$U,"2026-27",Weekly_Local!$T:$T,$A150,Weekly_Local!$D:$D,"&lt;&gt;")=0,"",SUMIFS(Weekly_Local!$D:$D,Weekly_Local!$U:$U,"2026-27",Weekly_Local!$T:$T,$A150))</f>
        <v/>
      </c>
      <c r="G150" s="5" t="str">
        <f aca="false">IF(AND($A150=53,DATE(YEAR(Config!$B$3),1,4)-WEEKDAY(DATE(YEAR(Config!$B$3),1,4))+1+364&gt;=DATE(YEAR(Config!$B$3)+1,1,4)-WEEKDAY(DATE(YEAR(Config!$B$3)+1,1,4))+1),"",TEXT(DATE(YEAR(Config!$B$3)+IF($A150&gt;=36,0,1),1,4)-WEEKDAY(DATE(YEAR(Config!$B$3)+IF($A150&gt;=36,0,1),1,4))+1+7*($A150-1)+1,"m/d/yy")&amp;" – "&amp;TEXT(DATE(YEAR(Config!$B$3)+IF($A150&gt;=36,0,1),1,4)-WEEKDAY(DATE(YEAR(Config!$B$3)+IF($A150&gt;=36,0,1),1,4))+1+7*($A150-1)+7,"m/d/yy"))</f>
        <v>4/5/27 – 4/11/27</v>
      </c>
    </row>
    <row r="151" customFormat="false" ht="15" hidden="false" customHeight="false" outlineLevel="0" collapsed="false">
      <c r="A151" s="5" t="n">
        <v>15</v>
      </c>
      <c r="B151" s="5" t="n">
        <f aca="false">IF(COUNTIFS(Weekly_Local!$U:$U,"2022-23",Weekly_Local!$T:$T,$A151,Weekly_Local!$D:$D,"&lt;&gt;")=0,"",SUMIFS(Weekly_Local!$D:$D,Weekly_Local!$U:$U,"2022-23",Weekly_Local!$T:$T,$A151))</f>
        <v>0</v>
      </c>
      <c r="C151" s="5" t="n">
        <f aca="false">IF(COUNTIFS(Weekly_Local!$U:$U,"2023-24",Weekly_Local!$T:$T,$A151,Weekly_Local!$D:$D,"&lt;&gt;")=0,"",SUMIFS(Weekly_Local!$D:$D,Weekly_Local!$U:$U,"2023-24",Weekly_Local!$T:$T,$A151))</f>
        <v>0</v>
      </c>
      <c r="D151" s="5" t="n">
        <f aca="false">IF(COUNTIFS(Weekly_Local!$U:$U,"2024-25",Weekly_Local!$T:$T,$A151,Weekly_Local!$D:$D,"&lt;&gt;")=0,"",SUMIFS(Weekly_Local!$D:$D,Weekly_Local!$U:$U,"2024-25",Weekly_Local!$T:$T,$A151))</f>
        <v>1</v>
      </c>
      <c r="E151" s="5" t="n">
        <f aca="false">IF(COUNTIFS(Weekly_Local!$U:$U,"2025-26",Weekly_Local!$T:$T,$A151,Weekly_Local!$D:$D,"&lt;&gt;")=0,"",SUMIFS(Weekly_Local!$D:$D,Weekly_Local!$U:$U,"2025-26",Weekly_Local!$T:$T,$A151))</f>
        <v>0</v>
      </c>
      <c r="F151" s="5" t="str">
        <f aca="false">IF(COUNTIFS(Weekly_Local!$U:$U,"2026-27",Weekly_Local!$T:$T,$A151,Weekly_Local!$D:$D,"&lt;&gt;")=0,"",SUMIFS(Weekly_Local!$D:$D,Weekly_Local!$U:$U,"2026-27",Weekly_Local!$T:$T,$A151))</f>
        <v/>
      </c>
      <c r="G151" s="5" t="str">
        <f aca="false">IF(AND($A151=53,DATE(YEAR(Config!$B$3),1,4)-WEEKDAY(DATE(YEAR(Config!$B$3),1,4))+1+364&gt;=DATE(YEAR(Config!$B$3)+1,1,4)-WEEKDAY(DATE(YEAR(Config!$B$3)+1,1,4))+1),"",TEXT(DATE(YEAR(Config!$B$3)+IF($A151&gt;=36,0,1),1,4)-WEEKDAY(DATE(YEAR(Config!$B$3)+IF($A151&gt;=36,0,1),1,4))+1+7*($A151-1)+1,"m/d/yy")&amp;" – "&amp;TEXT(DATE(YEAR(Config!$B$3)+IF($A151&gt;=36,0,1),1,4)-WEEKDAY(DATE(YEAR(Config!$B$3)+IF($A151&gt;=36,0,1),1,4))+1+7*($A151-1)+7,"m/d/yy"))</f>
        <v>4/12/27 – 4/18/27</v>
      </c>
    </row>
    <row r="152" customFormat="false" ht="15" hidden="false" customHeight="false" outlineLevel="0" collapsed="false">
      <c r="A152" s="5" t="n">
        <v>16</v>
      </c>
      <c r="B152" s="5" t="n">
        <f aca="false">IF(COUNTIFS(Weekly_Local!$U:$U,"2022-23",Weekly_Local!$T:$T,$A152,Weekly_Local!$D:$D,"&lt;&gt;")=0,"",SUMIFS(Weekly_Local!$D:$D,Weekly_Local!$U:$U,"2022-23",Weekly_Local!$T:$T,$A152))</f>
        <v>0</v>
      </c>
      <c r="C152" s="5" t="n">
        <f aca="false">IF(COUNTIFS(Weekly_Local!$U:$U,"2023-24",Weekly_Local!$T:$T,$A152,Weekly_Local!$D:$D,"&lt;&gt;")=0,"",SUMIFS(Weekly_Local!$D:$D,Weekly_Local!$U:$U,"2023-24",Weekly_Local!$T:$T,$A152))</f>
        <v>0</v>
      </c>
      <c r="D152" s="5" t="n">
        <f aca="false">IF(COUNTIFS(Weekly_Local!$U:$U,"2024-25",Weekly_Local!$T:$T,$A152,Weekly_Local!$D:$D,"&lt;&gt;")=0,"",SUMIFS(Weekly_Local!$D:$D,Weekly_Local!$U:$U,"2024-25",Weekly_Local!$T:$T,$A152))</f>
        <v>0</v>
      </c>
      <c r="E152" s="5" t="n">
        <f aca="false">IF(COUNTIFS(Weekly_Local!$U:$U,"2025-26",Weekly_Local!$T:$T,$A152,Weekly_Local!$D:$D,"&lt;&gt;")=0,"",SUMIFS(Weekly_Local!$D:$D,Weekly_Local!$U:$U,"2025-26",Weekly_Local!$T:$T,$A152))</f>
        <v>0</v>
      </c>
      <c r="F152" s="5" t="str">
        <f aca="false">IF(COUNTIFS(Weekly_Local!$U:$U,"2026-27",Weekly_Local!$T:$T,$A152,Weekly_Local!$D:$D,"&lt;&gt;")=0,"",SUMIFS(Weekly_Local!$D:$D,Weekly_Local!$U:$U,"2026-27",Weekly_Local!$T:$T,$A152))</f>
        <v/>
      </c>
      <c r="G152" s="5" t="str">
        <f aca="false">IF(AND($A152=53,DATE(YEAR(Config!$B$3),1,4)-WEEKDAY(DATE(YEAR(Config!$B$3),1,4))+1+364&gt;=DATE(YEAR(Config!$B$3)+1,1,4)-WEEKDAY(DATE(YEAR(Config!$B$3)+1,1,4))+1),"",TEXT(DATE(YEAR(Config!$B$3)+IF($A152&gt;=36,0,1),1,4)-WEEKDAY(DATE(YEAR(Config!$B$3)+IF($A152&gt;=36,0,1),1,4))+1+7*($A152-1)+1,"m/d/yy")&amp;" – "&amp;TEXT(DATE(YEAR(Config!$B$3)+IF($A152&gt;=36,0,1),1,4)-WEEKDAY(DATE(YEAR(Config!$B$3)+IF($A152&gt;=36,0,1),1,4))+1+7*($A152-1)+7,"m/d/yy"))</f>
        <v>4/19/27 – 4/25/27</v>
      </c>
    </row>
    <row r="153" customFormat="false" ht="15" hidden="false" customHeight="false" outlineLevel="0" collapsed="false">
      <c r="A153" s="5" t="n">
        <v>17</v>
      </c>
      <c r="B153" s="5" t="n">
        <f aca="false">IF(COUNTIFS(Weekly_Local!$U:$U,"2022-23",Weekly_Local!$T:$T,$A153,Weekly_Local!$D:$D,"&lt;&gt;")=0,"",SUMIFS(Weekly_Local!$D:$D,Weekly_Local!$U:$U,"2022-23",Weekly_Local!$T:$T,$A153))</f>
        <v>0</v>
      </c>
      <c r="C153" s="5" t="n">
        <f aca="false">IF(COUNTIFS(Weekly_Local!$U:$U,"2023-24",Weekly_Local!$T:$T,$A153,Weekly_Local!$D:$D,"&lt;&gt;")=0,"",SUMIFS(Weekly_Local!$D:$D,Weekly_Local!$U:$U,"2023-24",Weekly_Local!$T:$T,$A153))</f>
        <v>0</v>
      </c>
      <c r="D153" s="5" t="n">
        <f aca="false">IF(COUNTIFS(Weekly_Local!$U:$U,"2024-25",Weekly_Local!$T:$T,$A153,Weekly_Local!$D:$D,"&lt;&gt;")=0,"",SUMIFS(Weekly_Local!$D:$D,Weekly_Local!$U:$U,"2024-25",Weekly_Local!$T:$T,$A153))</f>
        <v>1</v>
      </c>
      <c r="E153" s="5" t="n">
        <f aca="false">IF(COUNTIFS(Weekly_Local!$U:$U,"2025-26",Weekly_Local!$T:$T,$A153,Weekly_Local!$D:$D,"&lt;&gt;")=0,"",SUMIFS(Weekly_Local!$D:$D,Weekly_Local!$U:$U,"2025-26",Weekly_Local!$T:$T,$A153))</f>
        <v>0</v>
      </c>
      <c r="F153" s="5" t="str">
        <f aca="false">IF(COUNTIFS(Weekly_Local!$U:$U,"2026-27",Weekly_Local!$T:$T,$A153,Weekly_Local!$D:$D,"&lt;&gt;")=0,"",SUMIFS(Weekly_Local!$D:$D,Weekly_Local!$U:$U,"2026-27",Weekly_Local!$T:$T,$A153))</f>
        <v/>
      </c>
      <c r="G153" s="5" t="str">
        <f aca="false">IF(AND($A153=53,DATE(YEAR(Config!$B$3),1,4)-WEEKDAY(DATE(YEAR(Config!$B$3),1,4))+1+364&gt;=DATE(YEAR(Config!$B$3)+1,1,4)-WEEKDAY(DATE(YEAR(Config!$B$3)+1,1,4))+1),"",TEXT(DATE(YEAR(Config!$B$3)+IF($A153&gt;=36,0,1),1,4)-WEEKDAY(DATE(YEAR(Config!$B$3)+IF($A153&gt;=36,0,1),1,4))+1+7*($A153-1)+1,"m/d/yy")&amp;" – "&amp;TEXT(DATE(YEAR(Config!$B$3)+IF($A153&gt;=36,0,1),1,4)-WEEKDAY(DATE(YEAR(Config!$B$3)+IF($A153&gt;=36,0,1),1,4))+1+7*($A153-1)+7,"m/d/yy"))</f>
        <v>4/26/27 – 5/2/27</v>
      </c>
    </row>
    <row r="154" customFormat="false" ht="15" hidden="false" customHeight="false" outlineLevel="0" collapsed="false">
      <c r="A154" s="5" t="n">
        <v>18</v>
      </c>
      <c r="B154" s="5" t="n">
        <f aca="false">IF(COUNTIFS(Weekly_Local!$U:$U,"2022-23",Weekly_Local!$T:$T,$A154,Weekly_Local!$D:$D,"&lt;&gt;")=0,"",SUMIFS(Weekly_Local!$D:$D,Weekly_Local!$U:$U,"2022-23",Weekly_Local!$T:$T,$A154))</f>
        <v>0</v>
      </c>
      <c r="C154" s="5" t="n">
        <f aca="false">IF(COUNTIFS(Weekly_Local!$U:$U,"2023-24",Weekly_Local!$T:$T,$A154,Weekly_Local!$D:$D,"&lt;&gt;")=0,"",SUMIFS(Weekly_Local!$D:$D,Weekly_Local!$U:$U,"2023-24",Weekly_Local!$T:$T,$A154))</f>
        <v>0</v>
      </c>
      <c r="D154" s="5" t="n">
        <f aca="false">IF(COUNTIFS(Weekly_Local!$U:$U,"2024-25",Weekly_Local!$T:$T,$A154,Weekly_Local!$D:$D,"&lt;&gt;")=0,"",SUMIFS(Weekly_Local!$D:$D,Weekly_Local!$U:$U,"2024-25",Weekly_Local!$T:$T,$A154))</f>
        <v>0</v>
      </c>
      <c r="E154" s="5" t="n">
        <f aca="false">IF(COUNTIFS(Weekly_Local!$U:$U,"2025-26",Weekly_Local!$T:$T,$A154,Weekly_Local!$D:$D,"&lt;&gt;")=0,"",SUMIFS(Weekly_Local!$D:$D,Weekly_Local!$U:$U,"2025-26",Weekly_Local!$T:$T,$A154))</f>
        <v>2</v>
      </c>
      <c r="F154" s="5" t="str">
        <f aca="false">IF(COUNTIFS(Weekly_Local!$U:$U,"2026-27",Weekly_Local!$T:$T,$A154,Weekly_Local!$D:$D,"&lt;&gt;")=0,"",SUMIFS(Weekly_Local!$D:$D,Weekly_Local!$U:$U,"2026-27",Weekly_Local!$T:$T,$A154))</f>
        <v/>
      </c>
      <c r="G154" s="5" t="str">
        <f aca="false">IF(AND($A154=53,DATE(YEAR(Config!$B$3),1,4)-WEEKDAY(DATE(YEAR(Config!$B$3),1,4))+1+364&gt;=DATE(YEAR(Config!$B$3)+1,1,4)-WEEKDAY(DATE(YEAR(Config!$B$3)+1,1,4))+1),"",TEXT(DATE(YEAR(Config!$B$3)+IF($A154&gt;=36,0,1),1,4)-WEEKDAY(DATE(YEAR(Config!$B$3)+IF($A154&gt;=36,0,1),1,4))+1+7*($A154-1)+1,"m/d/yy")&amp;" – "&amp;TEXT(DATE(YEAR(Config!$B$3)+IF($A154&gt;=36,0,1),1,4)-WEEKDAY(DATE(YEAR(Config!$B$3)+IF($A154&gt;=36,0,1),1,4))+1+7*($A154-1)+7,"m/d/yy"))</f>
        <v>5/3/27 – 5/9/27</v>
      </c>
    </row>
    <row r="155" customFormat="false" ht="15" hidden="false" customHeight="false" outlineLevel="0" collapsed="false">
      <c r="A155" s="5" t="n">
        <v>19</v>
      </c>
      <c r="B155" s="5" t="n">
        <f aca="false">IF(COUNTIFS(Weekly_Local!$U:$U,"2022-23",Weekly_Local!$T:$T,$A155,Weekly_Local!$D:$D,"&lt;&gt;")=0,"",SUMIFS(Weekly_Local!$D:$D,Weekly_Local!$U:$U,"2022-23",Weekly_Local!$T:$T,$A155))</f>
        <v>0</v>
      </c>
      <c r="C155" s="5" t="n">
        <f aca="false">IF(COUNTIFS(Weekly_Local!$U:$U,"2023-24",Weekly_Local!$T:$T,$A155,Weekly_Local!$D:$D,"&lt;&gt;")=0,"",SUMIFS(Weekly_Local!$D:$D,Weekly_Local!$U:$U,"2023-24",Weekly_Local!$T:$T,$A155))</f>
        <v>0</v>
      </c>
      <c r="D155" s="5" t="n">
        <f aca="false">IF(COUNTIFS(Weekly_Local!$U:$U,"2024-25",Weekly_Local!$T:$T,$A155,Weekly_Local!$D:$D,"&lt;&gt;")=0,"",SUMIFS(Weekly_Local!$D:$D,Weekly_Local!$U:$U,"2024-25",Weekly_Local!$T:$T,$A155))</f>
        <v>0</v>
      </c>
      <c r="E155" s="5" t="n">
        <f aca="false">IF(COUNTIFS(Weekly_Local!$U:$U,"2025-26",Weekly_Local!$T:$T,$A155,Weekly_Local!$D:$D,"&lt;&gt;")=0,"",SUMIFS(Weekly_Local!$D:$D,Weekly_Local!$U:$U,"2025-26",Weekly_Local!$T:$T,$A155))</f>
        <v>0</v>
      </c>
      <c r="F155" s="5" t="str">
        <f aca="false">IF(COUNTIFS(Weekly_Local!$U:$U,"2026-27",Weekly_Local!$T:$T,$A155,Weekly_Local!$D:$D,"&lt;&gt;")=0,"",SUMIFS(Weekly_Local!$D:$D,Weekly_Local!$U:$U,"2026-27",Weekly_Local!$T:$T,$A155))</f>
        <v/>
      </c>
      <c r="G155" s="5" t="str">
        <f aca="false">IF(AND($A155=53,DATE(YEAR(Config!$B$3),1,4)-WEEKDAY(DATE(YEAR(Config!$B$3),1,4))+1+364&gt;=DATE(YEAR(Config!$B$3)+1,1,4)-WEEKDAY(DATE(YEAR(Config!$B$3)+1,1,4))+1),"",TEXT(DATE(YEAR(Config!$B$3)+IF($A155&gt;=36,0,1),1,4)-WEEKDAY(DATE(YEAR(Config!$B$3)+IF($A155&gt;=36,0,1),1,4))+1+7*($A155-1)+1,"m/d/yy")&amp;" – "&amp;TEXT(DATE(YEAR(Config!$B$3)+IF($A155&gt;=36,0,1),1,4)-WEEKDAY(DATE(YEAR(Config!$B$3)+IF($A155&gt;=36,0,1),1,4))+1+7*($A155-1)+7,"m/d/yy"))</f>
        <v>5/10/27 – 5/16/27</v>
      </c>
    </row>
    <row r="156" customFormat="false" ht="15" hidden="false" customHeight="false" outlineLevel="0" collapsed="false">
      <c r="A156" s="5" t="n">
        <v>20</v>
      </c>
      <c r="B156" s="5" t="n">
        <f aca="false">IF(COUNTIFS(Weekly_Local!$U:$U,"2022-23",Weekly_Local!$T:$T,$A156,Weekly_Local!$D:$D,"&lt;&gt;")=0,"",SUMIFS(Weekly_Local!$D:$D,Weekly_Local!$U:$U,"2022-23",Weekly_Local!$T:$T,$A156))</f>
        <v>0</v>
      </c>
      <c r="C156" s="5" t="n">
        <f aca="false">IF(COUNTIFS(Weekly_Local!$U:$U,"2023-24",Weekly_Local!$T:$T,$A156,Weekly_Local!$D:$D,"&lt;&gt;")=0,"",SUMIFS(Weekly_Local!$D:$D,Weekly_Local!$U:$U,"2023-24",Weekly_Local!$T:$T,$A156))</f>
        <v>0</v>
      </c>
      <c r="D156" s="5" t="n">
        <f aca="false">IF(COUNTIFS(Weekly_Local!$U:$U,"2024-25",Weekly_Local!$T:$T,$A156,Weekly_Local!$D:$D,"&lt;&gt;")=0,"",SUMIFS(Weekly_Local!$D:$D,Weekly_Local!$U:$U,"2024-25",Weekly_Local!$T:$T,$A156))</f>
        <v>0</v>
      </c>
      <c r="E156" s="5" t="n">
        <f aca="false">IF(COUNTIFS(Weekly_Local!$U:$U,"2025-26",Weekly_Local!$T:$T,$A156,Weekly_Local!$D:$D,"&lt;&gt;")=0,"",SUMIFS(Weekly_Local!$D:$D,Weekly_Local!$U:$U,"2025-26",Weekly_Local!$T:$T,$A156))</f>
        <v>2</v>
      </c>
      <c r="F156" s="5" t="str">
        <f aca="false">IF(COUNTIFS(Weekly_Local!$U:$U,"2026-27",Weekly_Local!$T:$T,$A156,Weekly_Local!$D:$D,"&lt;&gt;")=0,"",SUMIFS(Weekly_Local!$D:$D,Weekly_Local!$U:$U,"2026-27",Weekly_Local!$T:$T,$A156))</f>
        <v/>
      </c>
      <c r="G156" s="5" t="str">
        <f aca="false">IF(AND($A156=53,DATE(YEAR(Config!$B$3),1,4)-WEEKDAY(DATE(YEAR(Config!$B$3),1,4))+1+364&gt;=DATE(YEAR(Config!$B$3)+1,1,4)-WEEKDAY(DATE(YEAR(Config!$B$3)+1,1,4))+1),"",TEXT(DATE(YEAR(Config!$B$3)+IF($A156&gt;=36,0,1),1,4)-WEEKDAY(DATE(YEAR(Config!$B$3)+IF($A156&gt;=36,0,1),1,4))+1+7*($A156-1)+1,"m/d/yy")&amp;" – "&amp;TEXT(DATE(YEAR(Config!$B$3)+IF($A156&gt;=36,0,1),1,4)-WEEKDAY(DATE(YEAR(Config!$B$3)+IF($A156&gt;=36,0,1),1,4))+1+7*($A156-1)+7,"m/d/yy"))</f>
        <v>5/17/27 – 5/23/27</v>
      </c>
    </row>
    <row r="157" customFormat="false" ht="15" hidden="false" customHeight="false" outlineLevel="0" collapsed="false">
      <c r="A157" s="5" t="n">
        <v>21</v>
      </c>
      <c r="B157" s="5" t="n">
        <f aca="false">IF(COUNTIFS(Weekly_Local!$U:$U,"2022-23",Weekly_Local!$T:$T,$A157,Weekly_Local!$D:$D,"&lt;&gt;")=0,"",SUMIFS(Weekly_Local!$D:$D,Weekly_Local!$U:$U,"2022-23",Weekly_Local!$T:$T,$A157))</f>
        <v>0</v>
      </c>
      <c r="C157" s="5" t="n">
        <f aca="false">IF(COUNTIFS(Weekly_Local!$U:$U,"2023-24",Weekly_Local!$T:$T,$A157,Weekly_Local!$D:$D,"&lt;&gt;")=0,"",SUMIFS(Weekly_Local!$D:$D,Weekly_Local!$U:$U,"2023-24",Weekly_Local!$T:$T,$A157))</f>
        <v>0</v>
      </c>
      <c r="D157" s="5" t="n">
        <f aca="false">IF(COUNTIFS(Weekly_Local!$U:$U,"2024-25",Weekly_Local!$T:$T,$A157,Weekly_Local!$D:$D,"&lt;&gt;")=0,"",SUMIFS(Weekly_Local!$D:$D,Weekly_Local!$U:$U,"2024-25",Weekly_Local!$T:$T,$A157))</f>
        <v>0</v>
      </c>
      <c r="E157" s="5" t="n">
        <f aca="false">IF(COUNTIFS(Weekly_Local!$U:$U,"2025-26",Weekly_Local!$T:$T,$A157,Weekly_Local!$D:$D,"&lt;&gt;")=0,"",SUMIFS(Weekly_Local!$D:$D,Weekly_Local!$U:$U,"2025-26",Weekly_Local!$T:$T,$A157))</f>
        <v>1</v>
      </c>
      <c r="F157" s="5" t="str">
        <f aca="false">IF(COUNTIFS(Weekly_Local!$U:$U,"2026-27",Weekly_Local!$T:$T,$A157,Weekly_Local!$D:$D,"&lt;&gt;")=0,"",SUMIFS(Weekly_Local!$D:$D,Weekly_Local!$U:$U,"2026-27",Weekly_Local!$T:$T,$A157))</f>
        <v/>
      </c>
      <c r="G157" s="5" t="str">
        <f aca="false">IF(AND($A157=53,DATE(YEAR(Config!$B$3),1,4)-WEEKDAY(DATE(YEAR(Config!$B$3),1,4))+1+364&gt;=DATE(YEAR(Config!$B$3)+1,1,4)-WEEKDAY(DATE(YEAR(Config!$B$3)+1,1,4))+1),"",TEXT(DATE(YEAR(Config!$B$3)+IF($A157&gt;=36,0,1),1,4)-WEEKDAY(DATE(YEAR(Config!$B$3)+IF($A157&gt;=36,0,1),1,4))+1+7*($A157-1)+1,"m/d/yy")&amp;" – "&amp;TEXT(DATE(YEAR(Config!$B$3)+IF($A157&gt;=36,0,1),1,4)-WEEKDAY(DATE(YEAR(Config!$B$3)+IF($A157&gt;=36,0,1),1,4))+1+7*($A157-1)+7,"m/d/yy"))</f>
        <v>5/24/27 – 5/30/27</v>
      </c>
    </row>
    <row r="158" customFormat="false" ht="15" hidden="false" customHeight="false" outlineLevel="0" collapsed="false">
      <c r="A158" s="5" t="n">
        <v>22</v>
      </c>
      <c r="B158" s="5" t="n">
        <f aca="false">IF(COUNTIFS(Weekly_Local!$U:$U,"2022-23",Weekly_Local!$T:$T,$A158,Weekly_Local!$D:$D,"&lt;&gt;")=0,"",SUMIFS(Weekly_Local!$D:$D,Weekly_Local!$U:$U,"2022-23",Weekly_Local!$T:$T,$A158))</f>
        <v>0</v>
      </c>
      <c r="C158" s="5" t="n">
        <f aca="false">IF(COUNTIFS(Weekly_Local!$U:$U,"2023-24",Weekly_Local!$T:$T,$A158,Weekly_Local!$D:$D,"&lt;&gt;")=0,"",SUMIFS(Weekly_Local!$D:$D,Weekly_Local!$U:$U,"2023-24",Weekly_Local!$T:$T,$A158))</f>
        <v>0</v>
      </c>
      <c r="D158" s="5" t="n">
        <f aca="false">IF(COUNTIFS(Weekly_Local!$U:$U,"2024-25",Weekly_Local!$T:$T,$A158,Weekly_Local!$D:$D,"&lt;&gt;")=0,"",SUMIFS(Weekly_Local!$D:$D,Weekly_Local!$U:$U,"2024-25",Weekly_Local!$T:$T,$A158))</f>
        <v>0</v>
      </c>
      <c r="E158" s="5" t="n">
        <f aca="false">IF(COUNTIFS(Weekly_Local!$U:$U,"2025-26",Weekly_Local!$T:$T,$A158,Weekly_Local!$D:$D,"&lt;&gt;")=0,"",SUMIFS(Weekly_Local!$D:$D,Weekly_Local!$U:$U,"2025-26",Weekly_Local!$T:$T,$A158))</f>
        <v>0</v>
      </c>
      <c r="F158" s="5" t="str">
        <f aca="false">IF(COUNTIFS(Weekly_Local!$U:$U,"2026-27",Weekly_Local!$T:$T,$A158,Weekly_Local!$D:$D,"&lt;&gt;")=0,"",SUMIFS(Weekly_Local!$D:$D,Weekly_Local!$U:$U,"2026-27",Weekly_Local!$T:$T,$A158))</f>
        <v/>
      </c>
      <c r="G158" s="5" t="str">
        <f aca="false">IF(AND($A158=53,DATE(YEAR(Config!$B$3),1,4)-WEEKDAY(DATE(YEAR(Config!$B$3),1,4))+1+364&gt;=DATE(YEAR(Config!$B$3)+1,1,4)-WEEKDAY(DATE(YEAR(Config!$B$3)+1,1,4))+1),"",TEXT(DATE(YEAR(Config!$B$3)+IF($A158&gt;=36,0,1),1,4)-WEEKDAY(DATE(YEAR(Config!$B$3)+IF($A158&gt;=36,0,1),1,4))+1+7*($A158-1)+1,"m/d/yy")&amp;" – "&amp;TEXT(DATE(YEAR(Config!$B$3)+IF($A158&gt;=36,0,1),1,4)-WEEKDAY(DATE(YEAR(Config!$B$3)+IF($A158&gt;=36,0,1),1,4))+1+7*($A158-1)+7,"m/d/yy"))</f>
        <v>5/31/27 – 6/6/27</v>
      </c>
    </row>
    <row r="159" customFormat="false" ht="15" hidden="false" customHeight="false" outlineLevel="0" collapsed="false">
      <c r="A159" s="5" t="n">
        <v>23</v>
      </c>
      <c r="B159" s="5" t="n">
        <f aca="false">IF(COUNTIFS(Weekly_Local!$U:$U,"2022-23",Weekly_Local!$T:$T,$A159,Weekly_Local!$D:$D,"&lt;&gt;")=0,"",SUMIFS(Weekly_Local!$D:$D,Weekly_Local!$U:$U,"2022-23",Weekly_Local!$T:$T,$A159))</f>
        <v>0</v>
      </c>
      <c r="C159" s="5" t="n">
        <f aca="false">IF(COUNTIFS(Weekly_Local!$U:$U,"2023-24",Weekly_Local!$T:$T,$A159,Weekly_Local!$D:$D,"&lt;&gt;")=0,"",SUMIFS(Weekly_Local!$D:$D,Weekly_Local!$U:$U,"2023-24",Weekly_Local!$T:$T,$A159))</f>
        <v>1</v>
      </c>
      <c r="D159" s="5" t="n">
        <f aca="false">IF(COUNTIFS(Weekly_Local!$U:$U,"2024-25",Weekly_Local!$T:$T,$A159,Weekly_Local!$D:$D,"&lt;&gt;")=0,"",SUMIFS(Weekly_Local!$D:$D,Weekly_Local!$U:$U,"2024-25",Weekly_Local!$T:$T,$A159))</f>
        <v>0</v>
      </c>
      <c r="E159" s="5" t="n">
        <f aca="false">IF(COUNTIFS(Weekly_Local!$U:$U,"2025-26",Weekly_Local!$T:$T,$A159,Weekly_Local!$D:$D,"&lt;&gt;")=0,"",SUMIFS(Weekly_Local!$D:$D,Weekly_Local!$U:$U,"2025-26",Weekly_Local!$T:$T,$A159))</f>
        <v>1</v>
      </c>
      <c r="F159" s="5" t="str">
        <f aca="false">IF(COUNTIFS(Weekly_Local!$U:$U,"2026-27",Weekly_Local!$T:$T,$A159,Weekly_Local!$D:$D,"&lt;&gt;")=0,"",SUMIFS(Weekly_Local!$D:$D,Weekly_Local!$U:$U,"2026-27",Weekly_Local!$T:$T,$A159))</f>
        <v/>
      </c>
      <c r="G159" s="5" t="str">
        <f aca="false">IF(AND($A159=53,DATE(YEAR(Config!$B$3),1,4)-WEEKDAY(DATE(YEAR(Config!$B$3),1,4))+1+364&gt;=DATE(YEAR(Config!$B$3)+1,1,4)-WEEKDAY(DATE(YEAR(Config!$B$3)+1,1,4))+1),"",TEXT(DATE(YEAR(Config!$B$3)+IF($A159&gt;=36,0,1),1,4)-WEEKDAY(DATE(YEAR(Config!$B$3)+IF($A159&gt;=36,0,1),1,4))+1+7*($A159-1)+1,"m/d/yy")&amp;" – "&amp;TEXT(DATE(YEAR(Config!$B$3)+IF($A159&gt;=36,0,1),1,4)-WEEKDAY(DATE(YEAR(Config!$B$3)+IF($A159&gt;=36,0,1),1,4))+1+7*($A159-1)+7,"m/d/yy"))</f>
        <v>6/7/27 – 6/13/27</v>
      </c>
    </row>
    <row r="160" customFormat="false" ht="15" hidden="false" customHeight="false" outlineLevel="0" collapsed="false">
      <c r="A160" s="5" t="n">
        <v>24</v>
      </c>
      <c r="B160" s="5" t="n">
        <f aca="false">IF(COUNTIFS(Weekly_Local!$U:$U,"2022-23",Weekly_Local!$T:$T,$A160,Weekly_Local!$D:$D,"&lt;&gt;")=0,"",SUMIFS(Weekly_Local!$D:$D,Weekly_Local!$U:$U,"2022-23",Weekly_Local!$T:$T,$A160))</f>
        <v>0</v>
      </c>
      <c r="C160" s="5" t="n">
        <f aca="false">IF(COUNTIFS(Weekly_Local!$U:$U,"2023-24",Weekly_Local!$T:$T,$A160,Weekly_Local!$D:$D,"&lt;&gt;")=0,"",SUMIFS(Weekly_Local!$D:$D,Weekly_Local!$U:$U,"2023-24",Weekly_Local!$T:$T,$A160))</f>
        <v>0</v>
      </c>
      <c r="D160" s="5" t="n">
        <f aca="false">IF(COUNTIFS(Weekly_Local!$U:$U,"2024-25",Weekly_Local!$T:$T,$A160,Weekly_Local!$D:$D,"&lt;&gt;")=0,"",SUMIFS(Weekly_Local!$D:$D,Weekly_Local!$U:$U,"2024-25",Weekly_Local!$T:$T,$A160))</f>
        <v>0</v>
      </c>
      <c r="E160" s="5" t="n">
        <f aca="false">IF(COUNTIFS(Weekly_Local!$U:$U,"2025-26",Weekly_Local!$T:$T,$A160,Weekly_Local!$D:$D,"&lt;&gt;")=0,"",SUMIFS(Weekly_Local!$D:$D,Weekly_Local!$U:$U,"2025-26",Weekly_Local!$T:$T,$A160))</f>
        <v>0</v>
      </c>
      <c r="F160" s="5" t="str">
        <f aca="false">IF(COUNTIFS(Weekly_Local!$U:$U,"2026-27",Weekly_Local!$T:$T,$A160,Weekly_Local!$D:$D,"&lt;&gt;")=0,"",SUMIFS(Weekly_Local!$D:$D,Weekly_Local!$U:$U,"2026-27",Weekly_Local!$T:$T,$A160))</f>
        <v/>
      </c>
      <c r="G160" s="5" t="str">
        <f aca="false">IF(AND($A160=53,DATE(YEAR(Config!$B$3),1,4)-WEEKDAY(DATE(YEAR(Config!$B$3),1,4))+1+364&gt;=DATE(YEAR(Config!$B$3)+1,1,4)-WEEKDAY(DATE(YEAR(Config!$B$3)+1,1,4))+1),"",TEXT(DATE(YEAR(Config!$B$3)+IF($A160&gt;=36,0,1),1,4)-WEEKDAY(DATE(YEAR(Config!$B$3)+IF($A160&gt;=36,0,1),1,4))+1+7*($A160-1)+1,"m/d/yy")&amp;" – "&amp;TEXT(DATE(YEAR(Config!$B$3)+IF($A160&gt;=36,0,1),1,4)-WEEKDAY(DATE(YEAR(Config!$B$3)+IF($A160&gt;=36,0,1),1,4))+1+7*($A160-1)+7,"m/d/yy"))</f>
        <v>6/14/27 – 6/20/27</v>
      </c>
    </row>
    <row r="161" customFormat="false" ht="15" hidden="false" customHeight="false" outlineLevel="0" collapsed="false">
      <c r="A161" s="5" t="n">
        <v>25</v>
      </c>
      <c r="B161" s="5" t="n">
        <f aca="false">IF(COUNTIFS(Weekly_Local!$U:$U,"2022-23",Weekly_Local!$T:$T,$A161,Weekly_Local!$D:$D,"&lt;&gt;")=0,"",SUMIFS(Weekly_Local!$D:$D,Weekly_Local!$U:$U,"2022-23",Weekly_Local!$T:$T,$A161))</f>
        <v>0</v>
      </c>
      <c r="C161" s="5" t="n">
        <f aca="false">IF(COUNTIFS(Weekly_Local!$U:$U,"2023-24",Weekly_Local!$T:$T,$A161,Weekly_Local!$D:$D,"&lt;&gt;")=0,"",SUMIFS(Weekly_Local!$D:$D,Weekly_Local!$U:$U,"2023-24",Weekly_Local!$T:$T,$A161))</f>
        <v>0</v>
      </c>
      <c r="D161" s="5" t="n">
        <f aca="false">IF(COUNTIFS(Weekly_Local!$U:$U,"2024-25",Weekly_Local!$T:$T,$A161,Weekly_Local!$D:$D,"&lt;&gt;")=0,"",SUMIFS(Weekly_Local!$D:$D,Weekly_Local!$U:$U,"2024-25",Weekly_Local!$T:$T,$A161))</f>
        <v>0</v>
      </c>
      <c r="E161" s="5" t="n">
        <f aca="false">IF(COUNTIFS(Weekly_Local!$U:$U,"2025-26",Weekly_Local!$T:$T,$A161,Weekly_Local!$D:$D,"&lt;&gt;")=0,"",SUMIFS(Weekly_Local!$D:$D,Weekly_Local!$U:$U,"2025-26",Weekly_Local!$T:$T,$A161))</f>
        <v>0</v>
      </c>
      <c r="F161" s="5" t="str">
        <f aca="false">IF(COUNTIFS(Weekly_Local!$U:$U,"2026-27",Weekly_Local!$T:$T,$A161,Weekly_Local!$D:$D,"&lt;&gt;")=0,"",SUMIFS(Weekly_Local!$D:$D,Weekly_Local!$U:$U,"2026-27",Weekly_Local!$T:$T,$A161))</f>
        <v/>
      </c>
      <c r="G161" s="5" t="str">
        <f aca="false">IF(AND($A161=53,DATE(YEAR(Config!$B$3),1,4)-WEEKDAY(DATE(YEAR(Config!$B$3),1,4))+1+364&gt;=DATE(YEAR(Config!$B$3)+1,1,4)-WEEKDAY(DATE(YEAR(Config!$B$3)+1,1,4))+1),"",TEXT(DATE(YEAR(Config!$B$3)+IF($A161&gt;=36,0,1),1,4)-WEEKDAY(DATE(YEAR(Config!$B$3)+IF($A161&gt;=36,0,1),1,4))+1+7*($A161-1)+1,"m/d/yy")&amp;" – "&amp;TEXT(DATE(YEAR(Config!$B$3)+IF($A161&gt;=36,0,1),1,4)-WEEKDAY(DATE(YEAR(Config!$B$3)+IF($A161&gt;=36,0,1),1,4))+1+7*($A161-1)+7,"m/d/yy"))</f>
        <v>6/21/27 – 6/27/27</v>
      </c>
    </row>
    <row r="162" customFormat="false" ht="15" hidden="false" customHeight="false" outlineLevel="0" collapsed="false">
      <c r="A162" s="5" t="n">
        <v>26</v>
      </c>
      <c r="B162" s="5" t="n">
        <f aca="false">IF(COUNTIFS(Weekly_Local!$U:$U,"2022-23",Weekly_Local!$T:$T,$A162,Weekly_Local!$D:$D,"&lt;&gt;")=0,"",SUMIFS(Weekly_Local!$D:$D,Weekly_Local!$U:$U,"2022-23",Weekly_Local!$T:$T,$A162))</f>
        <v>0</v>
      </c>
      <c r="C162" s="5" t="n">
        <f aca="false">IF(COUNTIFS(Weekly_Local!$U:$U,"2023-24",Weekly_Local!$T:$T,$A162,Weekly_Local!$D:$D,"&lt;&gt;")=0,"",SUMIFS(Weekly_Local!$D:$D,Weekly_Local!$U:$U,"2023-24",Weekly_Local!$T:$T,$A162))</f>
        <v>0</v>
      </c>
      <c r="D162" s="5" t="n">
        <f aca="false">IF(COUNTIFS(Weekly_Local!$U:$U,"2024-25",Weekly_Local!$T:$T,$A162,Weekly_Local!$D:$D,"&lt;&gt;")=0,"",SUMIFS(Weekly_Local!$D:$D,Weekly_Local!$U:$U,"2024-25",Weekly_Local!$T:$T,$A162))</f>
        <v>1</v>
      </c>
      <c r="E162" s="5" t="n">
        <f aca="false">IF(COUNTIFS(Weekly_Local!$U:$U,"2025-26",Weekly_Local!$T:$T,$A162,Weekly_Local!$D:$D,"&lt;&gt;")=0,"",SUMIFS(Weekly_Local!$D:$D,Weekly_Local!$U:$U,"2025-26",Weekly_Local!$T:$T,$A162))</f>
        <v>0</v>
      </c>
      <c r="F162" s="5" t="str">
        <f aca="false">IF(COUNTIFS(Weekly_Local!$U:$U,"2026-27",Weekly_Local!$T:$T,$A162,Weekly_Local!$D:$D,"&lt;&gt;")=0,"",SUMIFS(Weekly_Local!$D:$D,Weekly_Local!$U:$U,"2026-27",Weekly_Local!$T:$T,$A162))</f>
        <v/>
      </c>
      <c r="G162" s="5" t="str">
        <f aca="false">IF(AND($A162=53,DATE(YEAR(Config!$B$3),1,4)-WEEKDAY(DATE(YEAR(Config!$B$3),1,4))+1+364&gt;=DATE(YEAR(Config!$B$3)+1,1,4)-WEEKDAY(DATE(YEAR(Config!$B$3)+1,1,4))+1),"",TEXT(DATE(YEAR(Config!$B$3)+IF($A162&gt;=36,0,1),1,4)-WEEKDAY(DATE(YEAR(Config!$B$3)+IF($A162&gt;=36,0,1),1,4))+1+7*($A162-1)+1,"m/d/yy")&amp;" – "&amp;TEXT(DATE(YEAR(Config!$B$3)+IF($A162&gt;=36,0,1),1,4)-WEEKDAY(DATE(YEAR(Config!$B$3)+IF($A162&gt;=36,0,1),1,4))+1+7*($A162-1)+7,"m/d/yy"))</f>
        <v>6/28/27 – 7/4/27</v>
      </c>
    </row>
    <row r="163" customFormat="false" ht="15" hidden="false" customHeight="false" outlineLevel="0" collapsed="false">
      <c r="A163" s="5" t="n">
        <v>27</v>
      </c>
      <c r="B163" s="5" t="n">
        <f aca="false">IF(COUNTIFS(Weekly_Local!$U:$U,"2022-23",Weekly_Local!$T:$T,$A163,Weekly_Local!$D:$D,"&lt;&gt;")=0,"",SUMIFS(Weekly_Local!$D:$D,Weekly_Local!$U:$U,"2022-23",Weekly_Local!$T:$T,$A163))</f>
        <v>0</v>
      </c>
      <c r="C163" s="5" t="n">
        <f aca="false">IF(COUNTIFS(Weekly_Local!$U:$U,"2023-24",Weekly_Local!$T:$T,$A163,Weekly_Local!$D:$D,"&lt;&gt;")=0,"",SUMIFS(Weekly_Local!$D:$D,Weekly_Local!$U:$U,"2023-24",Weekly_Local!$T:$T,$A163))</f>
        <v>0</v>
      </c>
      <c r="D163" s="5" t="n">
        <f aca="false">IF(COUNTIFS(Weekly_Local!$U:$U,"2024-25",Weekly_Local!$T:$T,$A163,Weekly_Local!$D:$D,"&lt;&gt;")=0,"",SUMIFS(Weekly_Local!$D:$D,Weekly_Local!$U:$U,"2024-25",Weekly_Local!$T:$T,$A163))</f>
        <v>0</v>
      </c>
      <c r="E163" s="5" t="n">
        <f aca="false">IF(COUNTIFS(Weekly_Local!$U:$U,"2025-26",Weekly_Local!$T:$T,$A163,Weekly_Local!$D:$D,"&lt;&gt;")=0,"",SUMIFS(Weekly_Local!$D:$D,Weekly_Local!$U:$U,"2025-26",Weekly_Local!$T:$T,$A163))</f>
        <v>0</v>
      </c>
      <c r="F163" s="5" t="str">
        <f aca="false">IF(COUNTIFS(Weekly_Local!$U:$U,"2026-27",Weekly_Local!$T:$T,$A163,Weekly_Local!$D:$D,"&lt;&gt;")=0,"",SUMIFS(Weekly_Local!$D:$D,Weekly_Local!$U:$U,"2026-27",Weekly_Local!$T:$T,$A163))</f>
        <v/>
      </c>
      <c r="G163" s="5" t="str">
        <f aca="false">IF(AND($A163=53,DATE(YEAR(Config!$B$3),1,4)-WEEKDAY(DATE(YEAR(Config!$B$3),1,4))+1+364&gt;=DATE(YEAR(Config!$B$3)+1,1,4)-WEEKDAY(DATE(YEAR(Config!$B$3)+1,1,4))+1),"",TEXT(DATE(YEAR(Config!$B$3)+IF($A163&gt;=36,0,1),1,4)-WEEKDAY(DATE(YEAR(Config!$B$3)+IF($A163&gt;=36,0,1),1,4))+1+7*($A163-1)+1,"m/d/yy")&amp;" – "&amp;TEXT(DATE(YEAR(Config!$B$3)+IF($A163&gt;=36,0,1),1,4)-WEEKDAY(DATE(YEAR(Config!$B$3)+IF($A163&gt;=36,0,1),1,4))+1+7*($A163-1)+7,"m/d/yy"))</f>
        <v>7/5/27 – 7/11/27</v>
      </c>
    </row>
    <row r="164" customFormat="false" ht="15" hidden="false" customHeight="false" outlineLevel="0" collapsed="false">
      <c r="A164" s="5" t="n">
        <v>28</v>
      </c>
      <c r="B164" s="5" t="n">
        <f aca="false">IF(COUNTIFS(Weekly_Local!$U:$U,"2022-23",Weekly_Local!$T:$T,$A164,Weekly_Local!$D:$D,"&lt;&gt;")=0,"",SUMIFS(Weekly_Local!$D:$D,Weekly_Local!$U:$U,"2022-23",Weekly_Local!$T:$T,$A164))</f>
        <v>0</v>
      </c>
      <c r="C164" s="5" t="n">
        <f aca="false">IF(COUNTIFS(Weekly_Local!$U:$U,"2023-24",Weekly_Local!$T:$T,$A164,Weekly_Local!$D:$D,"&lt;&gt;")=0,"",SUMIFS(Weekly_Local!$D:$D,Weekly_Local!$U:$U,"2023-24",Weekly_Local!$T:$T,$A164))</f>
        <v>0</v>
      </c>
      <c r="D164" s="5" t="n">
        <f aca="false">IF(COUNTIFS(Weekly_Local!$U:$U,"2024-25",Weekly_Local!$T:$T,$A164,Weekly_Local!$D:$D,"&lt;&gt;")=0,"",SUMIFS(Weekly_Local!$D:$D,Weekly_Local!$U:$U,"2024-25",Weekly_Local!$T:$T,$A164))</f>
        <v>0</v>
      </c>
      <c r="E164" s="5" t="n">
        <f aca="false">IF(COUNTIFS(Weekly_Local!$U:$U,"2025-26",Weekly_Local!$T:$T,$A164,Weekly_Local!$D:$D,"&lt;&gt;")=0,"",SUMIFS(Weekly_Local!$D:$D,Weekly_Local!$U:$U,"2025-26",Weekly_Local!$T:$T,$A164))</f>
        <v>0</v>
      </c>
      <c r="F164" s="5" t="str">
        <f aca="false">IF(COUNTIFS(Weekly_Local!$U:$U,"2026-27",Weekly_Local!$T:$T,$A164,Weekly_Local!$D:$D,"&lt;&gt;")=0,"",SUMIFS(Weekly_Local!$D:$D,Weekly_Local!$U:$U,"2026-27",Weekly_Local!$T:$T,$A164))</f>
        <v/>
      </c>
      <c r="G164" s="5" t="str">
        <f aca="false">IF(AND($A164=53,DATE(YEAR(Config!$B$3),1,4)-WEEKDAY(DATE(YEAR(Config!$B$3),1,4))+1+364&gt;=DATE(YEAR(Config!$B$3)+1,1,4)-WEEKDAY(DATE(YEAR(Config!$B$3)+1,1,4))+1),"",TEXT(DATE(YEAR(Config!$B$3)+IF($A164&gt;=36,0,1),1,4)-WEEKDAY(DATE(YEAR(Config!$B$3)+IF($A164&gt;=36,0,1),1,4))+1+7*($A164-1)+1,"m/d/yy")&amp;" – "&amp;TEXT(DATE(YEAR(Config!$B$3)+IF($A164&gt;=36,0,1),1,4)-WEEKDAY(DATE(YEAR(Config!$B$3)+IF($A164&gt;=36,0,1),1,4))+1+7*($A164-1)+7,"m/d/yy"))</f>
        <v>7/12/27 – 7/18/27</v>
      </c>
    </row>
    <row r="165" customFormat="false" ht="15" hidden="false" customHeight="false" outlineLevel="0" collapsed="false">
      <c r="A165" s="5" t="n">
        <v>29</v>
      </c>
      <c r="B165" s="5" t="n">
        <f aca="false">IF(COUNTIFS(Weekly_Local!$U:$U,"2022-23",Weekly_Local!$T:$T,$A165,Weekly_Local!$D:$D,"&lt;&gt;")=0,"",SUMIFS(Weekly_Local!$D:$D,Weekly_Local!$U:$U,"2022-23",Weekly_Local!$T:$T,$A165))</f>
        <v>0</v>
      </c>
      <c r="C165" s="5" t="n">
        <f aca="false">IF(COUNTIFS(Weekly_Local!$U:$U,"2023-24",Weekly_Local!$T:$T,$A165,Weekly_Local!$D:$D,"&lt;&gt;")=0,"",SUMIFS(Weekly_Local!$D:$D,Weekly_Local!$U:$U,"2023-24",Weekly_Local!$T:$T,$A165))</f>
        <v>0</v>
      </c>
      <c r="D165" s="5" t="n">
        <f aca="false">IF(COUNTIFS(Weekly_Local!$U:$U,"2024-25",Weekly_Local!$T:$T,$A165,Weekly_Local!$D:$D,"&lt;&gt;")=0,"",SUMIFS(Weekly_Local!$D:$D,Weekly_Local!$U:$U,"2024-25",Weekly_Local!$T:$T,$A165))</f>
        <v>0</v>
      </c>
      <c r="E165" s="5" t="n">
        <f aca="false">IF(COUNTIFS(Weekly_Local!$U:$U,"2025-26",Weekly_Local!$T:$T,$A165,Weekly_Local!$D:$D,"&lt;&gt;")=0,"",SUMIFS(Weekly_Local!$D:$D,Weekly_Local!$U:$U,"2025-26",Weekly_Local!$T:$T,$A165))</f>
        <v>0</v>
      </c>
      <c r="F165" s="5" t="str">
        <f aca="false">IF(COUNTIFS(Weekly_Local!$U:$U,"2026-27",Weekly_Local!$T:$T,$A165,Weekly_Local!$D:$D,"&lt;&gt;")=0,"",SUMIFS(Weekly_Local!$D:$D,Weekly_Local!$U:$U,"2026-27",Weekly_Local!$T:$T,$A165))</f>
        <v/>
      </c>
      <c r="G165" s="5" t="str">
        <f aca="false">IF(AND($A165=53,DATE(YEAR(Config!$B$3),1,4)-WEEKDAY(DATE(YEAR(Config!$B$3),1,4))+1+364&gt;=DATE(YEAR(Config!$B$3)+1,1,4)-WEEKDAY(DATE(YEAR(Config!$B$3)+1,1,4))+1),"",TEXT(DATE(YEAR(Config!$B$3)+IF($A165&gt;=36,0,1),1,4)-WEEKDAY(DATE(YEAR(Config!$B$3)+IF($A165&gt;=36,0,1),1,4))+1+7*($A165-1)+1,"m/d/yy")&amp;" – "&amp;TEXT(DATE(YEAR(Config!$B$3)+IF($A165&gt;=36,0,1),1,4)-WEEKDAY(DATE(YEAR(Config!$B$3)+IF($A165&gt;=36,0,1),1,4))+1+7*($A165-1)+7,"m/d/yy"))</f>
        <v>7/19/27 – 7/25/27</v>
      </c>
    </row>
    <row r="166" customFormat="false" ht="15" hidden="false" customHeight="false" outlineLevel="0" collapsed="false">
      <c r="A166" s="5" t="n">
        <v>30</v>
      </c>
      <c r="B166" s="5" t="n">
        <f aca="false">IF(COUNTIFS(Weekly_Local!$U:$U,"2022-23",Weekly_Local!$T:$T,$A166,Weekly_Local!$D:$D,"&lt;&gt;")=0,"",SUMIFS(Weekly_Local!$D:$D,Weekly_Local!$U:$U,"2022-23",Weekly_Local!$T:$T,$A166))</f>
        <v>0</v>
      </c>
      <c r="C166" s="5" t="n">
        <f aca="false">IF(COUNTIFS(Weekly_Local!$U:$U,"2023-24",Weekly_Local!$T:$T,$A166,Weekly_Local!$D:$D,"&lt;&gt;")=0,"",SUMIFS(Weekly_Local!$D:$D,Weekly_Local!$U:$U,"2023-24",Weekly_Local!$T:$T,$A166))</f>
        <v>0</v>
      </c>
      <c r="D166" s="5" t="n">
        <f aca="false">IF(COUNTIFS(Weekly_Local!$U:$U,"2024-25",Weekly_Local!$T:$T,$A166,Weekly_Local!$D:$D,"&lt;&gt;")=0,"",SUMIFS(Weekly_Local!$D:$D,Weekly_Local!$U:$U,"2024-25",Weekly_Local!$T:$T,$A166))</f>
        <v>0</v>
      </c>
      <c r="E166" s="5" t="n">
        <f aca="false">IF(COUNTIFS(Weekly_Local!$U:$U,"2025-26",Weekly_Local!$T:$T,$A166,Weekly_Local!$D:$D,"&lt;&gt;")=0,"",SUMIFS(Weekly_Local!$D:$D,Weekly_Local!$U:$U,"2025-26",Weekly_Local!$T:$T,$A166))</f>
        <v>0</v>
      </c>
      <c r="F166" s="5" t="str">
        <f aca="false">IF(COUNTIFS(Weekly_Local!$U:$U,"2026-27",Weekly_Local!$T:$T,$A166,Weekly_Local!$D:$D,"&lt;&gt;")=0,"",SUMIFS(Weekly_Local!$D:$D,Weekly_Local!$U:$U,"2026-27",Weekly_Local!$T:$T,$A166))</f>
        <v/>
      </c>
      <c r="G166" s="5" t="str">
        <f aca="false">IF(AND($A166=53,DATE(YEAR(Config!$B$3),1,4)-WEEKDAY(DATE(YEAR(Config!$B$3),1,4))+1+364&gt;=DATE(YEAR(Config!$B$3)+1,1,4)-WEEKDAY(DATE(YEAR(Config!$B$3)+1,1,4))+1),"",TEXT(DATE(YEAR(Config!$B$3)+IF($A166&gt;=36,0,1),1,4)-WEEKDAY(DATE(YEAR(Config!$B$3)+IF($A166&gt;=36,0,1),1,4))+1+7*($A166-1)+1,"m/d/yy")&amp;" – "&amp;TEXT(DATE(YEAR(Config!$B$3)+IF($A166&gt;=36,0,1),1,4)-WEEKDAY(DATE(YEAR(Config!$B$3)+IF($A166&gt;=36,0,1),1,4))+1+7*($A166-1)+7,"m/d/yy"))</f>
        <v>7/26/27 – 8/1/27</v>
      </c>
    </row>
    <row r="167" customFormat="false" ht="15" hidden="false" customHeight="false" outlineLevel="0" collapsed="false">
      <c r="A167" s="5" t="n">
        <v>31</v>
      </c>
      <c r="B167" s="5" t="n">
        <f aca="false">IF(COUNTIFS(Weekly_Local!$U:$U,"2022-23",Weekly_Local!$T:$T,$A167,Weekly_Local!$D:$D,"&lt;&gt;")=0,"",SUMIFS(Weekly_Local!$D:$D,Weekly_Local!$U:$U,"2022-23",Weekly_Local!$T:$T,$A167))</f>
        <v>0</v>
      </c>
      <c r="C167" s="5" t="n">
        <f aca="false">IF(COUNTIFS(Weekly_Local!$U:$U,"2023-24",Weekly_Local!$T:$T,$A167,Weekly_Local!$D:$D,"&lt;&gt;")=0,"",SUMIFS(Weekly_Local!$D:$D,Weekly_Local!$U:$U,"2023-24",Weekly_Local!$T:$T,$A167))</f>
        <v>0</v>
      </c>
      <c r="D167" s="5" t="n">
        <f aca="false">IF(COUNTIFS(Weekly_Local!$U:$U,"2024-25",Weekly_Local!$T:$T,$A167,Weekly_Local!$D:$D,"&lt;&gt;")=0,"",SUMIFS(Weekly_Local!$D:$D,Weekly_Local!$U:$U,"2024-25",Weekly_Local!$T:$T,$A167))</f>
        <v>0</v>
      </c>
      <c r="E167" s="5" t="n">
        <f aca="false">IF(COUNTIFS(Weekly_Local!$U:$U,"2025-26",Weekly_Local!$T:$T,$A167,Weekly_Local!$D:$D,"&lt;&gt;")=0,"",SUMIFS(Weekly_Local!$D:$D,Weekly_Local!$U:$U,"2025-26",Weekly_Local!$T:$T,$A167))</f>
        <v>0</v>
      </c>
      <c r="F167" s="5" t="str">
        <f aca="false">IF(COUNTIFS(Weekly_Local!$U:$U,"2026-27",Weekly_Local!$T:$T,$A167,Weekly_Local!$D:$D,"&lt;&gt;")=0,"",SUMIFS(Weekly_Local!$D:$D,Weekly_Local!$U:$U,"2026-27",Weekly_Local!$T:$T,$A167))</f>
        <v/>
      </c>
      <c r="G167" s="5" t="str">
        <f aca="false">IF(AND($A167=53,DATE(YEAR(Config!$B$3),1,4)-WEEKDAY(DATE(YEAR(Config!$B$3),1,4))+1+364&gt;=DATE(YEAR(Config!$B$3)+1,1,4)-WEEKDAY(DATE(YEAR(Config!$B$3)+1,1,4))+1),"",TEXT(DATE(YEAR(Config!$B$3)+IF($A167&gt;=36,0,1),1,4)-WEEKDAY(DATE(YEAR(Config!$B$3)+IF($A167&gt;=36,0,1),1,4))+1+7*($A167-1)+1,"m/d/yy")&amp;" – "&amp;TEXT(DATE(YEAR(Config!$B$3)+IF($A167&gt;=36,0,1),1,4)-WEEKDAY(DATE(YEAR(Config!$B$3)+IF($A167&gt;=36,0,1),1,4))+1+7*($A167-1)+7,"m/d/yy"))</f>
        <v>8/2/27 – 8/8/27</v>
      </c>
    </row>
    <row r="168" customFormat="false" ht="15" hidden="false" customHeight="false" outlineLevel="0" collapsed="false">
      <c r="A168" s="5" t="n">
        <v>32</v>
      </c>
      <c r="B168" s="5" t="n">
        <f aca="false">IF(COUNTIFS(Weekly_Local!$U:$U,"2022-23",Weekly_Local!$T:$T,$A168,Weekly_Local!$D:$D,"&lt;&gt;")=0,"",SUMIFS(Weekly_Local!$D:$D,Weekly_Local!$U:$U,"2022-23",Weekly_Local!$T:$T,$A168))</f>
        <v>0</v>
      </c>
      <c r="C168" s="5" t="n">
        <f aca="false">IF(COUNTIFS(Weekly_Local!$U:$U,"2023-24",Weekly_Local!$T:$T,$A168,Weekly_Local!$D:$D,"&lt;&gt;")=0,"",SUMIFS(Weekly_Local!$D:$D,Weekly_Local!$U:$U,"2023-24",Weekly_Local!$T:$T,$A168))</f>
        <v>0</v>
      </c>
      <c r="D168" s="5" t="n">
        <f aca="false">IF(COUNTIFS(Weekly_Local!$U:$U,"2024-25",Weekly_Local!$T:$T,$A168,Weekly_Local!$D:$D,"&lt;&gt;")=0,"",SUMIFS(Weekly_Local!$D:$D,Weekly_Local!$U:$U,"2024-25",Weekly_Local!$T:$T,$A168))</f>
        <v>0</v>
      </c>
      <c r="E168" s="5" t="n">
        <f aca="false">IF(COUNTIFS(Weekly_Local!$U:$U,"2025-26",Weekly_Local!$T:$T,$A168,Weekly_Local!$D:$D,"&lt;&gt;")=0,"",SUMIFS(Weekly_Local!$D:$D,Weekly_Local!$U:$U,"2025-26",Weekly_Local!$T:$T,$A168))</f>
        <v>0</v>
      </c>
      <c r="F168" s="5" t="str">
        <f aca="false">IF(COUNTIFS(Weekly_Local!$U:$U,"2026-27",Weekly_Local!$T:$T,$A168,Weekly_Local!$D:$D,"&lt;&gt;")=0,"",SUMIFS(Weekly_Local!$D:$D,Weekly_Local!$U:$U,"2026-27",Weekly_Local!$T:$T,$A168))</f>
        <v/>
      </c>
      <c r="G168" s="5" t="str">
        <f aca="false">IF(AND($A168=53,DATE(YEAR(Config!$B$3),1,4)-WEEKDAY(DATE(YEAR(Config!$B$3),1,4))+1+364&gt;=DATE(YEAR(Config!$B$3)+1,1,4)-WEEKDAY(DATE(YEAR(Config!$B$3)+1,1,4))+1),"",TEXT(DATE(YEAR(Config!$B$3)+IF($A168&gt;=36,0,1),1,4)-WEEKDAY(DATE(YEAR(Config!$B$3)+IF($A168&gt;=36,0,1),1,4))+1+7*($A168-1)+1,"m/d/yy")&amp;" – "&amp;TEXT(DATE(YEAR(Config!$B$3)+IF($A168&gt;=36,0,1),1,4)-WEEKDAY(DATE(YEAR(Config!$B$3)+IF($A168&gt;=36,0,1),1,4))+1+7*($A168-1)+7,"m/d/yy"))</f>
        <v>8/9/27 – 8/15/27</v>
      </c>
    </row>
    <row r="169" customFormat="false" ht="15" hidden="false" customHeight="false" outlineLevel="0" collapsed="false">
      <c r="A169" s="5" t="n">
        <v>33</v>
      </c>
      <c r="B169" s="5" t="n">
        <f aca="false">IF(COUNTIFS(Weekly_Local!$U:$U,"2022-23",Weekly_Local!$T:$T,$A169,Weekly_Local!$D:$D,"&lt;&gt;")=0,"",SUMIFS(Weekly_Local!$D:$D,Weekly_Local!$U:$U,"2022-23",Weekly_Local!$T:$T,$A169))</f>
        <v>0</v>
      </c>
      <c r="C169" s="5" t="n">
        <f aca="false">IF(COUNTIFS(Weekly_Local!$U:$U,"2023-24",Weekly_Local!$T:$T,$A169,Weekly_Local!$D:$D,"&lt;&gt;")=0,"",SUMIFS(Weekly_Local!$D:$D,Weekly_Local!$U:$U,"2023-24",Weekly_Local!$T:$T,$A169))</f>
        <v>0</v>
      </c>
      <c r="D169" s="5" t="n">
        <f aca="false">IF(COUNTIFS(Weekly_Local!$U:$U,"2024-25",Weekly_Local!$T:$T,$A169,Weekly_Local!$D:$D,"&lt;&gt;")=0,"",SUMIFS(Weekly_Local!$D:$D,Weekly_Local!$U:$U,"2024-25",Weekly_Local!$T:$T,$A169))</f>
        <v>0</v>
      </c>
      <c r="E169" s="5" t="n">
        <f aca="false">IF(COUNTIFS(Weekly_Local!$U:$U,"2025-26",Weekly_Local!$T:$T,$A169,Weekly_Local!$D:$D,"&lt;&gt;")=0,"",SUMIFS(Weekly_Local!$D:$D,Weekly_Local!$U:$U,"2025-26",Weekly_Local!$T:$T,$A169))</f>
        <v>0</v>
      </c>
      <c r="F169" s="5" t="str">
        <f aca="false">IF(COUNTIFS(Weekly_Local!$U:$U,"2026-27",Weekly_Local!$T:$T,$A169,Weekly_Local!$D:$D,"&lt;&gt;")=0,"",SUMIFS(Weekly_Local!$D:$D,Weekly_Local!$U:$U,"2026-27",Weekly_Local!$T:$T,$A169))</f>
        <v/>
      </c>
      <c r="G169" s="5" t="str">
        <f aca="false">IF(AND($A169=53,DATE(YEAR(Config!$B$3),1,4)-WEEKDAY(DATE(YEAR(Config!$B$3),1,4))+1+364&gt;=DATE(YEAR(Config!$B$3)+1,1,4)-WEEKDAY(DATE(YEAR(Config!$B$3)+1,1,4))+1),"",TEXT(DATE(YEAR(Config!$B$3)+IF($A169&gt;=36,0,1),1,4)-WEEKDAY(DATE(YEAR(Config!$B$3)+IF($A169&gt;=36,0,1),1,4))+1+7*($A169-1)+1,"m/d/yy")&amp;" – "&amp;TEXT(DATE(YEAR(Config!$B$3)+IF($A169&gt;=36,0,1),1,4)-WEEKDAY(DATE(YEAR(Config!$B$3)+IF($A169&gt;=36,0,1),1,4))+1+7*($A169-1)+7,"m/d/yy"))</f>
        <v>8/16/27 – 8/22/27</v>
      </c>
    </row>
    <row r="170" customFormat="false" ht="15" hidden="false" customHeight="false" outlineLevel="0" collapsed="false">
      <c r="A170" s="5" t="n">
        <v>34</v>
      </c>
      <c r="B170" s="5" t="n">
        <f aca="false">IF(COUNTIFS(Weekly_Local!$U:$U,"2022-23",Weekly_Local!$T:$T,$A170,Weekly_Local!$D:$D,"&lt;&gt;")=0,"",SUMIFS(Weekly_Local!$D:$D,Weekly_Local!$U:$U,"2022-23",Weekly_Local!$T:$T,$A170))</f>
        <v>0</v>
      </c>
      <c r="C170" s="5" t="n">
        <f aca="false">IF(COUNTIFS(Weekly_Local!$U:$U,"2023-24",Weekly_Local!$T:$T,$A170,Weekly_Local!$D:$D,"&lt;&gt;")=0,"",SUMIFS(Weekly_Local!$D:$D,Weekly_Local!$U:$U,"2023-24",Weekly_Local!$T:$T,$A170))</f>
        <v>0</v>
      </c>
      <c r="D170" s="5" t="n">
        <f aca="false">IF(COUNTIFS(Weekly_Local!$U:$U,"2024-25",Weekly_Local!$T:$T,$A170,Weekly_Local!$D:$D,"&lt;&gt;")=0,"",SUMIFS(Weekly_Local!$D:$D,Weekly_Local!$U:$U,"2024-25",Weekly_Local!$T:$T,$A170))</f>
        <v>0</v>
      </c>
      <c r="E170" s="5" t="n">
        <f aca="false">IF(COUNTIFS(Weekly_Local!$U:$U,"2025-26",Weekly_Local!$T:$T,$A170,Weekly_Local!$D:$D,"&lt;&gt;")=0,"",SUMIFS(Weekly_Local!$D:$D,Weekly_Local!$U:$U,"2025-26",Weekly_Local!$T:$T,$A170))</f>
        <v>0</v>
      </c>
      <c r="F170" s="5" t="str">
        <f aca="false">IF(COUNTIFS(Weekly_Local!$U:$U,"2026-27",Weekly_Local!$T:$T,$A170,Weekly_Local!$D:$D,"&lt;&gt;")=0,"",SUMIFS(Weekly_Local!$D:$D,Weekly_Local!$U:$U,"2026-27",Weekly_Local!$T:$T,$A170))</f>
        <v/>
      </c>
      <c r="G170" s="5" t="str">
        <f aca="false">IF(AND($A170=53,DATE(YEAR(Config!$B$3),1,4)-WEEKDAY(DATE(YEAR(Config!$B$3),1,4))+1+364&gt;=DATE(YEAR(Config!$B$3)+1,1,4)-WEEKDAY(DATE(YEAR(Config!$B$3)+1,1,4))+1),"",TEXT(DATE(YEAR(Config!$B$3)+IF($A170&gt;=36,0,1),1,4)-WEEKDAY(DATE(YEAR(Config!$B$3)+IF($A170&gt;=36,0,1),1,4))+1+7*($A170-1)+1,"m/d/yy")&amp;" – "&amp;TEXT(DATE(YEAR(Config!$B$3)+IF($A170&gt;=36,0,1),1,4)-WEEKDAY(DATE(YEAR(Config!$B$3)+IF($A170&gt;=36,0,1),1,4))+1+7*($A170-1)+7,"m/d/yy"))</f>
        <v>8/23/27 – 8/29/27</v>
      </c>
    </row>
    <row r="171" customFormat="false" ht="15" hidden="false" customHeight="false" outlineLevel="0" collapsed="false">
      <c r="A171" s="5" t="n">
        <v>35</v>
      </c>
      <c r="B171" s="5" t="n">
        <f aca="false">IF(COUNTIFS(Weekly_Local!$U:$U,"2022-23",Weekly_Local!$T:$T,$A171,Weekly_Local!$D:$D,"&lt;&gt;")=0,"",SUMIFS(Weekly_Local!$D:$D,Weekly_Local!$U:$U,"2022-23",Weekly_Local!$T:$T,$A171))</f>
        <v>0</v>
      </c>
      <c r="C171" s="5" t="n">
        <f aca="false">IF(COUNTIFS(Weekly_Local!$U:$U,"2023-24",Weekly_Local!$T:$T,$A171,Weekly_Local!$D:$D,"&lt;&gt;")=0,"",SUMIFS(Weekly_Local!$D:$D,Weekly_Local!$U:$U,"2023-24",Weekly_Local!$T:$T,$A171))</f>
        <v>0</v>
      </c>
      <c r="D171" s="5" t="n">
        <f aca="false">IF(COUNTIFS(Weekly_Local!$U:$U,"2024-25",Weekly_Local!$T:$T,$A171,Weekly_Local!$D:$D,"&lt;&gt;")=0,"",SUMIFS(Weekly_Local!$D:$D,Weekly_Local!$U:$U,"2024-25",Weekly_Local!$T:$T,$A171))</f>
        <v>0</v>
      </c>
      <c r="E171" s="5" t="n">
        <f aca="false">IF(COUNTIFS(Weekly_Local!$U:$U,"2025-26",Weekly_Local!$T:$T,$A171,Weekly_Local!$D:$D,"&lt;&gt;")=0,"",SUMIFS(Weekly_Local!$D:$D,Weekly_Local!$U:$U,"2025-26",Weekly_Local!$T:$T,$A171))</f>
        <v>0</v>
      </c>
      <c r="F171" s="5" t="str">
        <f aca="false">IF(COUNTIFS(Weekly_Local!$U:$U,"2026-27",Weekly_Local!$T:$T,$A171,Weekly_Local!$D:$D,"&lt;&gt;")=0,"",SUMIFS(Weekly_Local!$D:$D,Weekly_Local!$U:$U,"2026-27",Weekly_Local!$T:$T,$A171))</f>
        <v/>
      </c>
      <c r="G171" s="5" t="str">
        <f aca="false">IF(AND($A171=53,DATE(YEAR(Config!$B$3),1,4)-WEEKDAY(DATE(YEAR(Config!$B$3),1,4))+1+364&gt;=DATE(YEAR(Config!$B$3)+1,1,4)-WEEKDAY(DATE(YEAR(Config!$B$3)+1,1,4))+1),"",TEXT(DATE(YEAR(Config!$B$3)+IF($A171&gt;=36,0,1),1,4)-WEEKDAY(DATE(YEAR(Config!$B$3)+IF($A171&gt;=36,0,1),1,4))+1+7*($A171-1)+1,"m/d/yy")&amp;" – "&amp;TEXT(DATE(YEAR(Config!$B$3)+IF($A171&gt;=36,0,1),1,4)-WEEKDAY(DATE(YEAR(Config!$B$3)+IF($A171&gt;=36,0,1),1,4))+1+7*($A171-1)+7,"m/d/yy"))</f>
        <v>8/30/27 – 9/5/27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2" min="1" style="0" width="12"/>
    <col collapsed="false" customWidth="true" hidden="false" outlineLevel="0" max="13" min="13" style="0" width="9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4" t="s">
        <v>39</v>
      </c>
      <c r="B1" s="4" t="s">
        <v>81</v>
      </c>
      <c r="C1" s="4" t="s">
        <v>82</v>
      </c>
      <c r="D1" s="4" t="s">
        <v>83</v>
      </c>
      <c r="E1" s="4" t="s">
        <v>80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91</v>
      </c>
      <c r="N1" s="4" t="s">
        <v>21</v>
      </c>
    </row>
    <row r="2" customFormat="false" ht="15" hidden="false" customHeight="false" outlineLevel="0" collapsed="false">
      <c r="A2" s="8" t="n">
        <v>45565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/>
      <c r="H2" s="6" t="n">
        <v>0</v>
      </c>
      <c r="I2" s="6"/>
      <c r="J2" s="6"/>
      <c r="K2" s="6"/>
      <c r="L2" s="6" t="n">
        <v>0</v>
      </c>
      <c r="M2" s="6" t="n">
        <v>1</v>
      </c>
      <c r="N2" s="7" t="s">
        <v>92</v>
      </c>
    </row>
    <row r="3" customFormat="false" ht="15" hidden="false" customHeight="false" outlineLevel="0" collapsed="false">
      <c r="A3" s="8" t="n">
        <v>45572</v>
      </c>
      <c r="B3" s="6" t="n">
        <v>198.74</v>
      </c>
      <c r="C3" s="6" t="n">
        <v>4.61</v>
      </c>
      <c r="D3" s="6" t="n">
        <v>0</v>
      </c>
      <c r="E3" s="6" t="n">
        <v>0</v>
      </c>
      <c r="F3" s="6" t="n">
        <v>0</v>
      </c>
      <c r="G3" s="6"/>
      <c r="H3" s="6" t="n">
        <v>0</v>
      </c>
      <c r="I3" s="6"/>
      <c r="J3" s="6"/>
      <c r="K3" s="6"/>
      <c r="L3" s="6" t="n">
        <v>0</v>
      </c>
      <c r="M3" s="6" t="n">
        <v>2</v>
      </c>
      <c r="N3" s="7"/>
    </row>
    <row r="4" customFormat="false" ht="15" hidden="false" customHeight="false" outlineLevel="0" collapsed="false">
      <c r="A4" s="8" t="n">
        <v>45579</v>
      </c>
      <c r="B4" s="6" t="n">
        <v>124.52</v>
      </c>
      <c r="C4" s="6" t="n">
        <v>0</v>
      </c>
      <c r="D4" s="6" t="n">
        <v>1.09</v>
      </c>
      <c r="E4" s="6" t="n">
        <v>0</v>
      </c>
      <c r="F4" s="6" t="n">
        <v>0</v>
      </c>
      <c r="G4" s="6"/>
      <c r="H4" s="6" t="n">
        <v>0</v>
      </c>
      <c r="I4" s="6"/>
      <c r="J4" s="6"/>
      <c r="K4" s="6"/>
      <c r="L4" s="6" t="n">
        <v>0</v>
      </c>
      <c r="M4" s="6" t="n">
        <v>2</v>
      </c>
      <c r="N4" s="7"/>
    </row>
    <row r="5" customFormat="false" ht="15" hidden="false" customHeight="false" outlineLevel="0" collapsed="false">
      <c r="A5" s="8" t="n">
        <v>45586</v>
      </c>
      <c r="B5" s="6" t="n">
        <v>68.46</v>
      </c>
      <c r="C5" s="6" t="n">
        <v>0</v>
      </c>
      <c r="D5" s="6" t="n">
        <v>0</v>
      </c>
      <c r="E5" s="6" t="n">
        <v>0</v>
      </c>
      <c r="F5" s="6" t="n">
        <v>0</v>
      </c>
      <c r="G5" s="6"/>
      <c r="H5" s="6" t="n">
        <v>0</v>
      </c>
      <c r="I5" s="6"/>
      <c r="J5" s="6"/>
      <c r="K5" s="6"/>
      <c r="L5" s="6" t="n">
        <v>0</v>
      </c>
      <c r="M5" s="6" t="n">
        <v>2</v>
      </c>
      <c r="N5" s="7"/>
    </row>
    <row r="6" customFormat="false" ht="15" hidden="false" customHeight="false" outlineLevel="0" collapsed="false">
      <c r="A6" s="8" t="n">
        <v>45593</v>
      </c>
      <c r="B6" s="6" t="n">
        <v>345.68</v>
      </c>
      <c r="C6" s="6" t="n">
        <v>0</v>
      </c>
      <c r="D6" s="6" t="n">
        <v>0</v>
      </c>
      <c r="E6" s="6" t="n">
        <v>0</v>
      </c>
      <c r="F6" s="6" t="n">
        <v>0</v>
      </c>
      <c r="G6" s="6"/>
      <c r="H6" s="6" t="n">
        <v>0</v>
      </c>
      <c r="I6" s="6"/>
      <c r="J6" s="6"/>
      <c r="K6" s="6"/>
      <c r="L6" s="6" t="n">
        <v>0</v>
      </c>
      <c r="M6" s="6" t="n">
        <v>2</v>
      </c>
      <c r="N6" s="7"/>
    </row>
    <row r="7" customFormat="false" ht="15" hidden="false" customHeight="false" outlineLevel="0" collapsed="false">
      <c r="A7" s="8" t="n">
        <v>45600</v>
      </c>
      <c r="B7" s="6" t="n">
        <v>355.7</v>
      </c>
      <c r="C7" s="6" t="n">
        <v>2.17</v>
      </c>
      <c r="D7" s="6" t="n">
        <v>0</v>
      </c>
      <c r="E7" s="6" t="n">
        <v>0</v>
      </c>
      <c r="F7" s="6" t="n">
        <v>0</v>
      </c>
      <c r="G7" s="6"/>
      <c r="H7" s="6" t="n">
        <v>0</v>
      </c>
      <c r="I7" s="6"/>
      <c r="J7" s="6"/>
      <c r="K7" s="6"/>
      <c r="L7" s="6" t="n">
        <v>0</v>
      </c>
      <c r="M7" s="6" t="n">
        <v>2</v>
      </c>
      <c r="N7" s="7"/>
    </row>
    <row r="8" customFormat="false" ht="15" hidden="false" customHeight="false" outlineLevel="0" collapsed="false">
      <c r="A8" s="8" t="n">
        <v>45607</v>
      </c>
      <c r="B8" s="6" t="n">
        <v>250.53</v>
      </c>
      <c r="C8" s="6" t="n">
        <v>5.8</v>
      </c>
      <c r="D8" s="6" t="n">
        <v>0</v>
      </c>
      <c r="E8" s="6" t="n">
        <v>3.09</v>
      </c>
      <c r="F8" s="6" t="n">
        <v>5.16</v>
      </c>
      <c r="G8" s="6"/>
      <c r="H8" s="6" t="n">
        <v>0</v>
      </c>
      <c r="I8" s="6"/>
      <c r="J8" s="6"/>
      <c r="K8" s="6"/>
      <c r="L8" s="6" t="n">
        <v>0</v>
      </c>
      <c r="M8" s="6" t="n">
        <v>2</v>
      </c>
      <c r="N8" s="7"/>
    </row>
    <row r="9" customFormat="false" ht="15" hidden="false" customHeight="false" outlineLevel="0" collapsed="false">
      <c r="A9" s="8" t="n">
        <v>45614</v>
      </c>
      <c r="B9" s="6" t="n">
        <v>254.88</v>
      </c>
      <c r="C9" s="6" t="n">
        <v>46.49</v>
      </c>
      <c r="D9" s="6" t="n">
        <v>0</v>
      </c>
      <c r="E9" s="6" t="n">
        <v>0</v>
      </c>
      <c r="F9" s="6" t="n">
        <v>57.39</v>
      </c>
      <c r="G9" s="6" t="n">
        <v>0</v>
      </c>
      <c r="H9" s="6" t="n">
        <v>0</v>
      </c>
      <c r="I9" s="6"/>
      <c r="J9" s="6"/>
      <c r="K9" s="6"/>
      <c r="L9" s="6" t="n">
        <v>0</v>
      </c>
      <c r="M9" s="6" t="n">
        <v>2</v>
      </c>
      <c r="N9" s="7"/>
    </row>
    <row r="10" customFormat="false" ht="15" hidden="false" customHeight="false" outlineLevel="0" collapsed="false">
      <c r="A10" s="8" t="n">
        <v>45621</v>
      </c>
      <c r="B10" s="6" t="n">
        <v>169.97</v>
      </c>
      <c r="C10" s="6" t="n">
        <v>63.61</v>
      </c>
      <c r="D10" s="6" t="n">
        <v>2.78</v>
      </c>
      <c r="E10" s="6" t="n">
        <v>3.49</v>
      </c>
      <c r="F10" s="6" t="n">
        <v>51.6</v>
      </c>
      <c r="G10" s="6" t="n">
        <v>1.14</v>
      </c>
      <c r="H10" s="6" t="n">
        <v>0</v>
      </c>
      <c r="I10" s="6"/>
      <c r="J10" s="6"/>
      <c r="K10" s="6"/>
      <c r="L10" s="6" t="n">
        <v>0</v>
      </c>
      <c r="M10" s="6" t="n">
        <v>2</v>
      </c>
      <c r="N10" s="7"/>
    </row>
    <row r="11" customFormat="false" ht="15" hidden="false" customHeight="false" outlineLevel="0" collapsed="false">
      <c r="A11" s="8" t="n">
        <v>45628</v>
      </c>
      <c r="B11" s="6" t="n">
        <v>263.43</v>
      </c>
      <c r="C11" s="6" t="n">
        <v>150.17</v>
      </c>
      <c r="D11" s="6" t="n">
        <v>0</v>
      </c>
      <c r="E11" s="6" t="n">
        <v>5.99</v>
      </c>
      <c r="F11" s="6" t="n">
        <v>39.17</v>
      </c>
      <c r="G11" s="6" t="n">
        <v>10.54</v>
      </c>
      <c r="H11" s="6" t="n">
        <v>9.36</v>
      </c>
      <c r="I11" s="6"/>
      <c r="J11" s="6"/>
      <c r="K11" s="6"/>
      <c r="L11" s="6" t="n">
        <v>0</v>
      </c>
      <c r="M11" s="6" t="n">
        <v>2</v>
      </c>
      <c r="N11" s="7"/>
    </row>
    <row r="12" customFormat="false" ht="15" hidden="false" customHeight="false" outlineLevel="0" collapsed="false">
      <c r="A12" s="8" t="n">
        <v>45635</v>
      </c>
      <c r="B12" s="6" t="n">
        <v>194.66</v>
      </c>
      <c r="C12" s="6" t="n">
        <v>127.98</v>
      </c>
      <c r="D12" s="6" t="n">
        <v>1.31</v>
      </c>
      <c r="E12" s="6" t="n">
        <v>25.9</v>
      </c>
      <c r="F12" s="6" t="n">
        <v>18.38</v>
      </c>
      <c r="G12" s="6" t="n">
        <v>31.23</v>
      </c>
      <c r="H12" s="6" t="n">
        <v>12.25</v>
      </c>
      <c r="I12" s="6"/>
      <c r="J12" s="6"/>
      <c r="K12" s="6"/>
      <c r="L12" s="6" t="n">
        <v>0</v>
      </c>
      <c r="M12" s="6" t="n">
        <v>2</v>
      </c>
      <c r="N12" s="7"/>
    </row>
    <row r="13" customFormat="false" ht="15" hidden="false" customHeight="false" outlineLevel="0" collapsed="false">
      <c r="A13" s="8" t="n">
        <v>45642</v>
      </c>
      <c r="B13" s="6" t="n">
        <v>331.08</v>
      </c>
      <c r="C13" s="6" t="n">
        <v>212.31</v>
      </c>
      <c r="D13" s="6" t="n">
        <v>15.14</v>
      </c>
      <c r="E13" s="6" t="n">
        <v>10.32</v>
      </c>
      <c r="F13" s="6" t="n">
        <v>30.41</v>
      </c>
      <c r="G13" s="6" t="n">
        <v>107.9</v>
      </c>
      <c r="H13" s="6" t="n">
        <v>6.53</v>
      </c>
      <c r="I13" s="6"/>
      <c r="J13" s="6"/>
      <c r="K13" s="6"/>
      <c r="L13" s="6" t="n">
        <v>0</v>
      </c>
      <c r="M13" s="6" t="n">
        <v>2</v>
      </c>
      <c r="N13" s="7"/>
    </row>
    <row r="14" customFormat="false" ht="15" hidden="false" customHeight="false" outlineLevel="0" collapsed="false">
      <c r="A14" s="8" t="n">
        <v>45649</v>
      </c>
      <c r="B14" s="6" t="n">
        <v>192.2</v>
      </c>
      <c r="C14" s="6" t="n">
        <v>357</v>
      </c>
      <c r="D14" s="6" t="n">
        <v>89.61</v>
      </c>
      <c r="E14" s="6" t="n">
        <v>74.81</v>
      </c>
      <c r="F14" s="6" t="n">
        <v>8.81</v>
      </c>
      <c r="G14" s="6" t="n">
        <v>191.15</v>
      </c>
      <c r="H14" s="6" t="n">
        <v>67.57</v>
      </c>
      <c r="I14" s="6"/>
      <c r="J14" s="6"/>
      <c r="K14" s="6"/>
      <c r="L14" s="6" t="n">
        <v>0</v>
      </c>
      <c r="M14" s="6" t="n">
        <v>2</v>
      </c>
      <c r="N14" s="7"/>
    </row>
    <row r="15" customFormat="false" ht="15" hidden="false" customHeight="false" outlineLevel="0" collapsed="false">
      <c r="A15" s="8" t="n">
        <v>45656</v>
      </c>
      <c r="B15" s="6" t="n">
        <v>292.19</v>
      </c>
      <c r="C15" s="6" t="n">
        <v>257.27</v>
      </c>
      <c r="D15" s="6" t="n">
        <v>3.51</v>
      </c>
      <c r="E15" s="6" t="n">
        <v>40.32</v>
      </c>
      <c r="F15" s="6" t="n">
        <v>8.3</v>
      </c>
      <c r="G15" s="6" t="n">
        <v>57.91</v>
      </c>
      <c r="H15" s="6" t="n">
        <v>36.41</v>
      </c>
      <c r="I15" s="6"/>
      <c r="J15" s="6" t="n">
        <v>0</v>
      </c>
      <c r="K15" s="6"/>
      <c r="L15" s="6" t="n">
        <v>0</v>
      </c>
      <c r="M15" s="6" t="n">
        <v>2</v>
      </c>
      <c r="N15" s="7"/>
    </row>
    <row r="16" customFormat="false" ht="15" hidden="false" customHeight="false" outlineLevel="0" collapsed="false">
      <c r="A16" s="8" t="n">
        <v>45663</v>
      </c>
      <c r="B16" s="6" t="n">
        <v>308.21</v>
      </c>
      <c r="C16" s="6" t="n">
        <v>165.29</v>
      </c>
      <c r="D16" s="6" t="n">
        <v>10.07</v>
      </c>
      <c r="E16" s="6" t="n">
        <v>26.75</v>
      </c>
      <c r="F16" s="6" t="n">
        <v>4.43</v>
      </c>
      <c r="G16" s="6" t="n">
        <v>46.81</v>
      </c>
      <c r="H16" s="6" t="n">
        <v>32.24</v>
      </c>
      <c r="I16" s="6"/>
      <c r="J16" s="6" t="n">
        <v>0</v>
      </c>
      <c r="K16" s="6"/>
      <c r="L16" s="6" t="n">
        <v>0</v>
      </c>
      <c r="M16" s="6" t="n">
        <v>2</v>
      </c>
      <c r="N16" s="7"/>
    </row>
    <row r="17" customFormat="false" ht="15" hidden="false" customHeight="false" outlineLevel="0" collapsed="false">
      <c r="A17" s="8" t="n">
        <v>45670</v>
      </c>
      <c r="B17" s="6" t="n">
        <v>141.4</v>
      </c>
      <c r="C17" s="6" t="n">
        <v>133.06</v>
      </c>
      <c r="D17" s="6" t="n">
        <v>11.25</v>
      </c>
      <c r="E17" s="6" t="n">
        <v>40.39</v>
      </c>
      <c r="F17" s="6" t="n">
        <v>8.03</v>
      </c>
      <c r="G17" s="6" t="n">
        <v>37.26</v>
      </c>
      <c r="H17" s="6" t="n">
        <v>8.03</v>
      </c>
      <c r="I17" s="6"/>
      <c r="J17" s="6" t="n">
        <v>0</v>
      </c>
      <c r="K17" s="6"/>
      <c r="L17" s="6" t="n">
        <v>0</v>
      </c>
      <c r="M17" s="6" t="n">
        <v>2</v>
      </c>
      <c r="N17" s="7"/>
    </row>
    <row r="18" customFormat="false" ht="15" hidden="false" customHeight="false" outlineLevel="0" collapsed="false">
      <c r="A18" s="8" t="n">
        <v>45677</v>
      </c>
      <c r="B18" s="6" t="n">
        <v>87.7</v>
      </c>
      <c r="C18" s="6" t="n">
        <v>185.36</v>
      </c>
      <c r="D18" s="6" t="n">
        <v>0</v>
      </c>
      <c r="E18" s="6" t="n">
        <v>84.04</v>
      </c>
      <c r="F18" s="6" t="n">
        <v>9.8</v>
      </c>
      <c r="G18" s="6" t="n">
        <v>66.97</v>
      </c>
      <c r="H18" s="6" t="n">
        <v>7.62</v>
      </c>
      <c r="I18" s="6"/>
      <c r="J18" s="6" t="n">
        <v>0</v>
      </c>
      <c r="K18" s="6"/>
      <c r="L18" s="6" t="n">
        <v>0</v>
      </c>
      <c r="M18" s="6" t="n">
        <v>1</v>
      </c>
      <c r="N18" s="7"/>
    </row>
    <row r="19" customFormat="false" ht="15" hidden="false" customHeight="false" outlineLevel="0" collapsed="false">
      <c r="A19" s="8" t="n">
        <v>45684</v>
      </c>
      <c r="B19" s="6" t="n">
        <v>392.57</v>
      </c>
      <c r="C19" s="6" t="n">
        <v>418.76</v>
      </c>
      <c r="D19" s="6" t="n">
        <v>51.76</v>
      </c>
      <c r="E19" s="6" t="n">
        <v>157.4</v>
      </c>
      <c r="F19" s="6" t="n">
        <v>0</v>
      </c>
      <c r="G19" s="6" t="n">
        <v>221.06</v>
      </c>
      <c r="H19" s="6" t="n">
        <v>18.87</v>
      </c>
      <c r="I19" s="6"/>
      <c r="J19" s="6" t="n">
        <v>0</v>
      </c>
      <c r="K19" s="6"/>
      <c r="L19" s="6" t="n">
        <v>0</v>
      </c>
      <c r="M19" s="6" t="n">
        <v>2</v>
      </c>
      <c r="N19" s="7"/>
    </row>
    <row r="20" customFormat="false" ht="15" hidden="false" customHeight="false" outlineLevel="0" collapsed="false">
      <c r="A20" s="8" t="n">
        <v>45691</v>
      </c>
      <c r="B20" s="6" t="n">
        <v>502.04</v>
      </c>
      <c r="C20" s="6" t="n">
        <v>463.3</v>
      </c>
      <c r="D20" s="6" t="n">
        <v>38.59</v>
      </c>
      <c r="E20" s="6" t="n">
        <v>246.3</v>
      </c>
      <c r="F20" s="6" t="n">
        <v>5.22</v>
      </c>
      <c r="G20" s="6" t="n">
        <v>147.13</v>
      </c>
      <c r="H20" s="6" t="n">
        <v>61.24</v>
      </c>
      <c r="I20" s="6"/>
      <c r="J20" s="6" t="n">
        <v>0</v>
      </c>
      <c r="K20" s="6"/>
      <c r="L20" s="6" t="n">
        <v>0</v>
      </c>
      <c r="M20" s="6" t="n">
        <v>2</v>
      </c>
      <c r="N20" s="7"/>
    </row>
    <row r="21" customFormat="false" ht="15" hidden="false" customHeight="false" outlineLevel="0" collapsed="false">
      <c r="A21" s="8" t="n">
        <v>45698</v>
      </c>
      <c r="B21" s="6" t="n">
        <v>438.97</v>
      </c>
      <c r="C21" s="6" t="n">
        <v>139.61</v>
      </c>
      <c r="D21" s="6" t="n">
        <v>58.12</v>
      </c>
      <c r="E21" s="6" t="n">
        <v>52.23</v>
      </c>
      <c r="F21" s="6" t="n">
        <v>0</v>
      </c>
      <c r="G21" s="6" t="n">
        <v>98.63</v>
      </c>
      <c r="H21" s="6" t="n">
        <v>1.96</v>
      </c>
      <c r="I21" s="6"/>
      <c r="J21" s="6" t="n">
        <v>0</v>
      </c>
      <c r="K21" s="6"/>
      <c r="L21" s="6" t="n">
        <v>0</v>
      </c>
      <c r="M21" s="6" t="n">
        <v>2</v>
      </c>
      <c r="N21" s="7"/>
    </row>
    <row r="22" customFormat="false" ht="15" hidden="false" customHeight="false" outlineLevel="0" collapsed="false">
      <c r="A22" s="8" t="n">
        <v>45705</v>
      </c>
      <c r="B22" s="6" t="n">
        <v>210.2</v>
      </c>
      <c r="C22" s="6" t="n">
        <v>34.45</v>
      </c>
      <c r="D22" s="6" t="n">
        <v>63.74</v>
      </c>
      <c r="E22" s="6" t="n">
        <v>665.63</v>
      </c>
      <c r="F22" s="6" t="n">
        <v>2.4</v>
      </c>
      <c r="G22" s="6" t="n">
        <v>37.98</v>
      </c>
      <c r="H22" s="6" t="n">
        <v>1.44</v>
      </c>
      <c r="I22" s="6"/>
      <c r="J22" s="6" t="n">
        <v>0</v>
      </c>
      <c r="K22" s="6"/>
      <c r="L22" s="6" t="n">
        <v>0</v>
      </c>
      <c r="M22" s="6" t="n">
        <v>2</v>
      </c>
      <c r="N22" s="7"/>
    </row>
    <row r="23" customFormat="false" ht="15" hidden="false" customHeight="false" outlineLevel="0" collapsed="false">
      <c r="A23" s="8" t="n">
        <v>45712</v>
      </c>
      <c r="B23" s="6" t="n">
        <v>37.06</v>
      </c>
      <c r="C23" s="6" t="n">
        <v>79.58</v>
      </c>
      <c r="D23" s="6" t="n">
        <v>11.89</v>
      </c>
      <c r="E23" s="6" t="n">
        <v>18.75</v>
      </c>
      <c r="F23" s="6" t="n">
        <v>0</v>
      </c>
      <c r="G23" s="6" t="n">
        <v>42.29</v>
      </c>
      <c r="H23" s="6" t="n">
        <v>3.62</v>
      </c>
      <c r="I23" s="6"/>
      <c r="J23" s="6" t="n">
        <v>0</v>
      </c>
      <c r="K23" s="6"/>
      <c r="L23" s="6" t="n">
        <v>0</v>
      </c>
      <c r="M23" s="6" t="n">
        <v>2</v>
      </c>
      <c r="N23" s="7"/>
    </row>
    <row r="24" customFormat="false" ht="15" hidden="false" customHeight="false" outlineLevel="0" collapsed="false">
      <c r="A24" s="8" t="n">
        <v>45719</v>
      </c>
      <c r="B24" s="6" t="n">
        <v>116.86</v>
      </c>
      <c r="C24" s="6" t="n">
        <v>17.7</v>
      </c>
      <c r="D24" s="6" t="n">
        <v>9.47</v>
      </c>
      <c r="E24" s="6" t="n">
        <v>36.78</v>
      </c>
      <c r="F24" s="6" t="n">
        <v>0</v>
      </c>
      <c r="G24" s="6" t="n">
        <v>20.9</v>
      </c>
      <c r="H24" s="6" t="n">
        <v>0</v>
      </c>
      <c r="I24" s="6"/>
      <c r="J24" s="6" t="n">
        <v>0</v>
      </c>
      <c r="K24" s="6"/>
      <c r="L24" s="6" t="n">
        <v>0</v>
      </c>
      <c r="M24" s="6" t="n">
        <v>2</v>
      </c>
      <c r="N24" s="7"/>
    </row>
    <row r="25" customFormat="false" ht="15" hidden="false" customHeight="false" outlineLevel="0" collapsed="false">
      <c r="A25" s="8" t="n">
        <v>45726</v>
      </c>
      <c r="B25" s="6" t="n">
        <v>131.92</v>
      </c>
      <c r="C25" s="6" t="n">
        <v>28.13</v>
      </c>
      <c r="D25" s="6" t="n">
        <v>0</v>
      </c>
      <c r="E25" s="6" t="n">
        <v>63.29</v>
      </c>
      <c r="F25" s="6" t="n">
        <v>0</v>
      </c>
      <c r="G25" s="6" t="n">
        <v>21.78</v>
      </c>
      <c r="H25" s="6" t="n">
        <v>0</v>
      </c>
      <c r="I25" s="6"/>
      <c r="J25" s="6" t="n">
        <v>0</v>
      </c>
      <c r="K25" s="6"/>
      <c r="L25" s="6" t="n">
        <v>0</v>
      </c>
      <c r="M25" s="6" t="n">
        <v>2</v>
      </c>
      <c r="N25" s="7"/>
    </row>
    <row r="26" customFormat="false" ht="15" hidden="false" customHeight="false" outlineLevel="0" collapsed="false">
      <c r="A26" s="8" t="n">
        <v>45733</v>
      </c>
      <c r="B26" s="6" t="n">
        <v>878.13</v>
      </c>
      <c r="C26" s="6" t="n">
        <v>54.39</v>
      </c>
      <c r="D26" s="6" t="n">
        <v>21.93</v>
      </c>
      <c r="E26" s="6" t="n">
        <v>40.92</v>
      </c>
      <c r="F26" s="6" t="n">
        <v>0</v>
      </c>
      <c r="G26" s="6" t="n">
        <v>73.88</v>
      </c>
      <c r="H26" s="6" t="n">
        <v>3.24</v>
      </c>
      <c r="I26" s="6"/>
      <c r="J26" s="6" t="n">
        <v>0</v>
      </c>
      <c r="K26" s="6"/>
      <c r="L26" s="6" t="n">
        <v>0</v>
      </c>
      <c r="M26" s="6" t="n">
        <v>2</v>
      </c>
      <c r="N26" s="7"/>
    </row>
    <row r="27" customFormat="false" ht="15" hidden="false" customHeight="false" outlineLevel="0" collapsed="false">
      <c r="A27" s="8" t="n">
        <v>45740</v>
      </c>
      <c r="B27" s="6" t="n">
        <v>154.57</v>
      </c>
      <c r="C27" s="6" t="n">
        <v>19.6</v>
      </c>
      <c r="D27" s="6" t="n">
        <v>15.9</v>
      </c>
      <c r="E27" s="6" t="n">
        <v>12.34</v>
      </c>
      <c r="F27" s="6" t="n">
        <v>0</v>
      </c>
      <c r="G27" s="6" t="n">
        <v>7.23</v>
      </c>
      <c r="H27" s="6" t="n">
        <v>2.67</v>
      </c>
      <c r="I27" s="6"/>
      <c r="J27" s="6" t="n">
        <v>0</v>
      </c>
      <c r="K27" s="6"/>
      <c r="L27" s="6" t="n">
        <v>0</v>
      </c>
      <c r="M27" s="6" t="n">
        <v>2</v>
      </c>
      <c r="N27" s="7"/>
    </row>
    <row r="28" customFormat="false" ht="15" hidden="false" customHeight="false" outlineLevel="0" collapsed="false">
      <c r="A28" s="8" t="n">
        <v>45747</v>
      </c>
      <c r="B28" s="6" t="n">
        <v>191.31</v>
      </c>
      <c r="C28" s="6" t="n">
        <v>18.95</v>
      </c>
      <c r="D28" s="6" t="n">
        <v>35.49</v>
      </c>
      <c r="E28" s="6" t="n">
        <v>114.25</v>
      </c>
      <c r="F28" s="6" t="n">
        <v>0</v>
      </c>
      <c r="G28" s="6" t="n">
        <v>7.13</v>
      </c>
      <c r="H28" s="6" t="n">
        <v>0</v>
      </c>
      <c r="I28" s="6"/>
      <c r="J28" s="6" t="n">
        <v>0</v>
      </c>
      <c r="K28" s="6"/>
      <c r="L28" s="6" t="n">
        <v>0</v>
      </c>
      <c r="M28" s="6" t="n">
        <v>2</v>
      </c>
      <c r="N28" s="7"/>
    </row>
    <row r="29" customFormat="false" ht="15" hidden="false" customHeight="false" outlineLevel="0" collapsed="false">
      <c r="A29" s="8" t="n">
        <v>45754</v>
      </c>
      <c r="B29" s="6" t="n">
        <v>151.66</v>
      </c>
      <c r="C29" s="6" t="n">
        <v>0</v>
      </c>
      <c r="D29" s="6" t="n">
        <v>6.64</v>
      </c>
      <c r="E29" s="6" t="n">
        <v>0</v>
      </c>
      <c r="F29" s="6" t="n">
        <v>0</v>
      </c>
      <c r="G29" s="6" t="n">
        <v>0</v>
      </c>
      <c r="H29" s="6" t="n">
        <v>0</v>
      </c>
      <c r="I29" s="6"/>
      <c r="J29" s="6" t="n">
        <v>0</v>
      </c>
      <c r="K29" s="6"/>
      <c r="L29" s="6" t="n">
        <v>0</v>
      </c>
      <c r="M29" s="6" t="n">
        <v>2</v>
      </c>
      <c r="N29" s="7"/>
    </row>
    <row r="30" customFormat="false" ht="15" hidden="false" customHeight="false" outlineLevel="0" collapsed="false">
      <c r="A30" s="8" t="n">
        <v>45761</v>
      </c>
      <c r="B30" s="6" t="n">
        <v>140.51</v>
      </c>
      <c r="C30" s="6" t="n">
        <v>3.35</v>
      </c>
      <c r="D30" s="6" t="n">
        <v>30.81</v>
      </c>
      <c r="E30" s="6" t="n">
        <v>3.35</v>
      </c>
      <c r="F30" s="6" t="n">
        <v>0</v>
      </c>
      <c r="G30" s="6" t="n">
        <v>8.45</v>
      </c>
      <c r="H30" s="6" t="n">
        <v>0</v>
      </c>
      <c r="I30" s="6"/>
      <c r="J30" s="6" t="n">
        <v>0</v>
      </c>
      <c r="K30" s="6"/>
      <c r="L30" s="6" t="n">
        <v>0</v>
      </c>
      <c r="M30" s="6" t="n">
        <v>2</v>
      </c>
      <c r="N30" s="7"/>
    </row>
    <row r="31" customFormat="false" ht="15" hidden="false" customHeight="false" outlineLevel="0" collapsed="false">
      <c r="A31" s="8" t="n">
        <v>45768</v>
      </c>
      <c r="B31" s="6" t="n">
        <v>91.45</v>
      </c>
      <c r="C31" s="6" t="n">
        <v>0</v>
      </c>
      <c r="D31" s="6" t="n">
        <v>21.49</v>
      </c>
      <c r="E31" s="6" t="n">
        <v>34.64</v>
      </c>
      <c r="F31" s="6" t="n">
        <v>0</v>
      </c>
      <c r="G31" s="6" t="n">
        <v>0</v>
      </c>
      <c r="H31" s="6" t="n">
        <v>0</v>
      </c>
      <c r="I31" s="6"/>
      <c r="J31" s="6" t="n">
        <v>0</v>
      </c>
      <c r="K31" s="6"/>
      <c r="L31" s="6" t="n">
        <v>0</v>
      </c>
      <c r="M31" s="6" t="n">
        <v>2</v>
      </c>
      <c r="N31" s="7"/>
    </row>
    <row r="32" customFormat="false" ht="15" hidden="false" customHeight="false" outlineLevel="0" collapsed="false">
      <c r="A32" s="8" t="n">
        <v>45775</v>
      </c>
      <c r="B32" s="6" t="n">
        <v>98.2</v>
      </c>
      <c r="C32" s="6" t="n">
        <v>3.13</v>
      </c>
      <c r="D32" s="6" t="n">
        <v>9.39</v>
      </c>
      <c r="E32" s="6" t="n">
        <v>4.64</v>
      </c>
      <c r="F32" s="6" t="n">
        <v>0</v>
      </c>
      <c r="G32" s="6" t="n">
        <v>0</v>
      </c>
      <c r="H32" s="6" t="n">
        <v>0</v>
      </c>
      <c r="I32" s="6"/>
      <c r="J32" s="6" t="n">
        <v>0</v>
      </c>
      <c r="K32" s="6"/>
      <c r="L32" s="6" t="n">
        <v>0</v>
      </c>
      <c r="M32" s="6" t="n">
        <v>2</v>
      </c>
      <c r="N32" s="7"/>
    </row>
    <row r="33" customFormat="false" ht="15" hidden="false" customHeight="false" outlineLevel="0" collapsed="false">
      <c r="A33" s="8" t="n">
        <v>45782</v>
      </c>
      <c r="B33" s="6" t="n">
        <v>131.67</v>
      </c>
      <c r="C33" s="6" t="n">
        <v>0</v>
      </c>
      <c r="D33" s="6" t="n">
        <v>4.47</v>
      </c>
      <c r="E33" s="6" t="n">
        <v>0</v>
      </c>
      <c r="F33" s="6" t="n">
        <v>0</v>
      </c>
      <c r="G33" s="6" t="n">
        <v>0</v>
      </c>
      <c r="H33" s="6" t="n">
        <v>0</v>
      </c>
      <c r="I33" s="6"/>
      <c r="J33" s="6" t="n">
        <v>0</v>
      </c>
      <c r="K33" s="6"/>
      <c r="L33" s="6" t="n">
        <v>0</v>
      </c>
      <c r="M33" s="6" t="n">
        <v>2</v>
      </c>
      <c r="N33" s="7"/>
    </row>
    <row r="34" customFormat="false" ht="15" hidden="false" customHeight="false" outlineLevel="0" collapsed="false">
      <c r="A34" s="8" t="n">
        <v>45789</v>
      </c>
      <c r="B34" s="6" t="n">
        <v>125.13</v>
      </c>
      <c r="C34" s="6" t="n">
        <v>0</v>
      </c>
      <c r="D34" s="6" t="n">
        <v>4.21</v>
      </c>
      <c r="E34" s="6" t="n">
        <v>1.8</v>
      </c>
      <c r="F34" s="6" t="n">
        <v>0</v>
      </c>
      <c r="G34" s="6" t="n">
        <v>0</v>
      </c>
      <c r="H34" s="6" t="n">
        <v>0</v>
      </c>
      <c r="I34" s="6"/>
      <c r="J34" s="6" t="n">
        <v>0</v>
      </c>
      <c r="K34" s="6"/>
      <c r="L34" s="6" t="n">
        <v>0</v>
      </c>
      <c r="M34" s="6" t="n">
        <v>2</v>
      </c>
      <c r="N34" s="7"/>
    </row>
    <row r="35" customFormat="false" ht="15" hidden="false" customHeight="false" outlineLevel="0" collapsed="false">
      <c r="A35" s="8" t="n">
        <v>45796</v>
      </c>
      <c r="B35" s="6" t="n">
        <v>228.9</v>
      </c>
      <c r="C35" s="6" t="n">
        <v>0</v>
      </c>
      <c r="D35" s="6" t="n">
        <v>84.31</v>
      </c>
      <c r="E35" s="6" t="n">
        <v>0</v>
      </c>
      <c r="F35" s="6" t="n">
        <v>0</v>
      </c>
      <c r="G35" s="6" t="n">
        <v>0</v>
      </c>
      <c r="H35" s="6" t="n">
        <v>0</v>
      </c>
      <c r="I35" s="6"/>
      <c r="J35" s="6" t="n">
        <v>0</v>
      </c>
      <c r="K35" s="6"/>
      <c r="L35" s="6" t="n">
        <v>0</v>
      </c>
      <c r="M35" s="6" t="n">
        <v>2</v>
      </c>
      <c r="N35" s="7"/>
    </row>
    <row r="36" customFormat="false" ht="15" hidden="false" customHeight="false" outlineLevel="0" collapsed="false">
      <c r="A36" s="8" t="n">
        <v>45803</v>
      </c>
      <c r="B36" s="6" t="n">
        <v>113.05</v>
      </c>
      <c r="C36" s="6" t="n">
        <v>0</v>
      </c>
      <c r="D36" s="6" t="n">
        <v>72.66</v>
      </c>
      <c r="E36" s="6" t="n">
        <v>0</v>
      </c>
      <c r="F36" s="6" t="n">
        <v>0</v>
      </c>
      <c r="G36" s="6" t="n">
        <v>0</v>
      </c>
      <c r="H36" s="6" t="n">
        <v>0</v>
      </c>
      <c r="I36" s="6"/>
      <c r="J36" s="6" t="n">
        <v>0</v>
      </c>
      <c r="K36" s="6"/>
      <c r="L36" s="6" t="n">
        <v>0</v>
      </c>
      <c r="M36" s="6" t="n">
        <v>2</v>
      </c>
      <c r="N36" s="7"/>
    </row>
    <row r="37" customFormat="false" ht="15" hidden="false" customHeight="false" outlineLevel="0" collapsed="false">
      <c r="A37" s="8" t="n">
        <v>45810</v>
      </c>
      <c r="B37" s="6" t="n">
        <v>89.32</v>
      </c>
      <c r="C37" s="6" t="n">
        <v>0</v>
      </c>
      <c r="D37" s="6" t="n">
        <v>29.05</v>
      </c>
      <c r="E37" s="6" t="n">
        <v>0</v>
      </c>
      <c r="F37" s="6" t="n">
        <v>0</v>
      </c>
      <c r="G37" s="6" t="n">
        <v>0</v>
      </c>
      <c r="H37" s="6" t="n">
        <v>0</v>
      </c>
      <c r="I37" s="6"/>
      <c r="J37" s="6" t="n">
        <v>0</v>
      </c>
      <c r="K37" s="6"/>
      <c r="L37" s="6" t="n">
        <v>0</v>
      </c>
      <c r="M37" s="6" t="n">
        <v>2</v>
      </c>
      <c r="N37" s="7"/>
    </row>
    <row r="38" customFormat="false" ht="15" hidden="false" customHeight="false" outlineLevel="0" collapsed="false">
      <c r="A38" s="8" t="n">
        <v>45817</v>
      </c>
      <c r="B38" s="6" t="n">
        <v>109.16</v>
      </c>
      <c r="C38" s="6" t="n">
        <v>0</v>
      </c>
      <c r="D38" s="6" t="n">
        <v>38.39</v>
      </c>
      <c r="E38" s="6" t="n">
        <v>0</v>
      </c>
      <c r="F38" s="6" t="n">
        <v>0</v>
      </c>
      <c r="G38" s="6" t="n">
        <v>0</v>
      </c>
      <c r="H38" s="6" t="n">
        <v>0</v>
      </c>
      <c r="I38" s="6"/>
      <c r="J38" s="6" t="n">
        <v>0</v>
      </c>
      <c r="K38" s="6"/>
      <c r="L38" s="6" t="n">
        <v>0</v>
      </c>
      <c r="M38" s="6" t="n">
        <v>2</v>
      </c>
      <c r="N38" s="7"/>
    </row>
    <row r="39" customFormat="false" ht="15" hidden="false" customHeight="false" outlineLevel="0" collapsed="false">
      <c r="A39" s="8" t="n">
        <v>45824</v>
      </c>
      <c r="B39" s="6" t="n">
        <v>140.72</v>
      </c>
      <c r="C39" s="6" t="n">
        <v>2.74</v>
      </c>
      <c r="D39" s="6" t="n">
        <v>11.96</v>
      </c>
      <c r="E39" s="6" t="n">
        <v>0</v>
      </c>
      <c r="F39" s="6" t="n">
        <v>0</v>
      </c>
      <c r="G39" s="6" t="n">
        <v>0</v>
      </c>
      <c r="H39" s="6" t="n">
        <v>0</v>
      </c>
      <c r="I39" s="6"/>
      <c r="J39" s="6" t="n">
        <v>0</v>
      </c>
      <c r="K39" s="6"/>
      <c r="L39" s="6" t="n">
        <v>0</v>
      </c>
      <c r="M39" s="6" t="n">
        <v>2</v>
      </c>
      <c r="N39" s="7"/>
    </row>
    <row r="40" customFormat="false" ht="15" hidden="false" customHeight="false" outlineLevel="0" collapsed="false">
      <c r="A40" s="8" t="n">
        <v>45831</v>
      </c>
      <c r="B40" s="6" t="n">
        <v>302.23</v>
      </c>
      <c r="C40" s="6" t="n">
        <v>0</v>
      </c>
      <c r="D40" s="6" t="n">
        <v>45.63</v>
      </c>
      <c r="E40" s="6" t="n">
        <v>0</v>
      </c>
      <c r="F40" s="6" t="n">
        <v>0</v>
      </c>
      <c r="G40" s="6" t="n">
        <v>0</v>
      </c>
      <c r="H40" s="6" t="n">
        <v>0</v>
      </c>
      <c r="I40" s="6"/>
      <c r="J40" s="6" t="n">
        <v>0</v>
      </c>
      <c r="K40" s="6"/>
      <c r="L40" s="6" t="n">
        <v>0</v>
      </c>
      <c r="M40" s="6" t="n">
        <v>2</v>
      </c>
      <c r="N40" s="7"/>
    </row>
    <row r="41" customFormat="false" ht="15" hidden="false" customHeight="false" outlineLevel="0" collapsed="false">
      <c r="A41" s="8" t="n">
        <v>45838</v>
      </c>
      <c r="B41" s="6" t="n">
        <v>182.36</v>
      </c>
      <c r="C41" s="6" t="n">
        <v>2.77</v>
      </c>
      <c r="D41" s="6" t="n">
        <v>4.26</v>
      </c>
      <c r="E41" s="6" t="n">
        <v>0</v>
      </c>
      <c r="F41" s="6" t="n">
        <v>0</v>
      </c>
      <c r="G41" s="6" t="n">
        <v>0</v>
      </c>
      <c r="H41" s="6" t="n">
        <v>0</v>
      </c>
      <c r="I41" s="6"/>
      <c r="J41" s="6" t="n">
        <v>0</v>
      </c>
      <c r="K41" s="6"/>
      <c r="L41" s="6" t="n">
        <v>0</v>
      </c>
      <c r="M41" s="6" t="n">
        <v>2</v>
      </c>
      <c r="N41" s="7"/>
    </row>
    <row r="42" customFormat="false" ht="15" hidden="false" customHeight="false" outlineLevel="0" collapsed="false">
      <c r="A42" s="8" t="n">
        <v>45845</v>
      </c>
      <c r="B42" s="6" t="n">
        <v>183.43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/>
      <c r="J42" s="6" t="n">
        <v>0</v>
      </c>
      <c r="K42" s="6"/>
      <c r="L42" s="6" t="n">
        <v>0</v>
      </c>
      <c r="M42" s="6" t="n">
        <v>2</v>
      </c>
      <c r="N42" s="7"/>
    </row>
    <row r="43" customFormat="false" ht="15" hidden="false" customHeight="false" outlineLevel="0" collapsed="false">
      <c r="A43" s="8" t="n">
        <v>45852</v>
      </c>
      <c r="B43" s="6" t="n">
        <v>272.54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/>
      <c r="J43" s="6" t="n">
        <v>0</v>
      </c>
      <c r="K43" s="6"/>
      <c r="L43" s="6" t="n">
        <v>0</v>
      </c>
      <c r="M43" s="6" t="n">
        <v>2</v>
      </c>
      <c r="N43" s="7"/>
    </row>
    <row r="44" customFormat="false" ht="15" hidden="false" customHeight="false" outlineLevel="0" collapsed="false">
      <c r="A44" s="8" t="n">
        <v>45859</v>
      </c>
      <c r="B44" s="6" t="n">
        <v>365.88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/>
      <c r="J44" s="6" t="n">
        <v>0</v>
      </c>
      <c r="K44" s="6"/>
      <c r="L44" s="6" t="n">
        <v>0</v>
      </c>
      <c r="M44" s="6" t="n">
        <v>2</v>
      </c>
      <c r="N44" s="7"/>
    </row>
    <row r="45" customFormat="false" ht="15" hidden="false" customHeight="false" outlineLevel="0" collapsed="false">
      <c r="A45" s="8" t="n">
        <v>45866</v>
      </c>
      <c r="B45" s="6" t="n">
        <v>375.85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/>
      <c r="L45" s="6" t="n">
        <v>0</v>
      </c>
      <c r="M45" s="6" t="n">
        <v>2</v>
      </c>
      <c r="N45" s="7"/>
    </row>
    <row r="46" customFormat="false" ht="15" hidden="false" customHeight="false" outlineLevel="0" collapsed="false">
      <c r="A46" s="8" t="n">
        <v>45873</v>
      </c>
      <c r="B46" s="6" t="n">
        <v>975.46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/>
      <c r="L46" s="6" t="n">
        <v>0</v>
      </c>
      <c r="M46" s="6" t="n">
        <v>2</v>
      </c>
      <c r="N46" s="7"/>
    </row>
    <row r="47" customFormat="false" ht="15" hidden="false" customHeight="false" outlineLevel="0" collapsed="false">
      <c r="A47" s="8" t="n">
        <v>45880</v>
      </c>
      <c r="B47" s="6" t="n">
        <v>211.09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/>
      <c r="L47" s="6" t="n">
        <v>0</v>
      </c>
      <c r="M47" s="6" t="n">
        <v>2</v>
      </c>
      <c r="N47" s="7"/>
    </row>
    <row r="48" customFormat="false" ht="15" hidden="false" customHeight="false" outlineLevel="0" collapsed="false">
      <c r="A48" s="8" t="n">
        <v>45887</v>
      </c>
      <c r="B48" s="6" t="n">
        <v>215.32</v>
      </c>
      <c r="C48" s="6" t="n">
        <v>1.88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/>
      <c r="L48" s="6" t="n">
        <v>0</v>
      </c>
      <c r="M48" s="6" t="n">
        <v>2</v>
      </c>
      <c r="N48" s="7"/>
    </row>
    <row r="49" customFormat="false" ht="15" hidden="false" customHeight="false" outlineLevel="0" collapsed="false">
      <c r="A49" s="8" t="n">
        <v>45894</v>
      </c>
      <c r="B49" s="6" t="n">
        <v>135.99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/>
      <c r="L49" s="6" t="n">
        <v>0</v>
      </c>
      <c r="M49" s="6" t="n">
        <v>2</v>
      </c>
      <c r="N49" s="7"/>
    </row>
    <row r="50" customFormat="false" ht="15" hidden="false" customHeight="false" outlineLevel="0" collapsed="false">
      <c r="A50" s="8" t="n">
        <v>45901</v>
      </c>
      <c r="B50" s="6" t="n">
        <v>303.83</v>
      </c>
      <c r="C50" s="6" t="n">
        <v>0</v>
      </c>
      <c r="D50" s="6" t="n">
        <v>1.11</v>
      </c>
      <c r="E50" s="6" t="n">
        <v>2.22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/>
      <c r="L50" s="6" t="n">
        <v>0</v>
      </c>
      <c r="M50" s="6" t="n">
        <v>2</v>
      </c>
      <c r="N50" s="7"/>
    </row>
    <row r="51" customFormat="false" ht="15" hidden="false" customHeight="false" outlineLevel="0" collapsed="false">
      <c r="A51" s="8" t="n">
        <v>45908</v>
      </c>
      <c r="B51" s="6" t="n">
        <v>270.43</v>
      </c>
      <c r="C51" s="6" t="n">
        <v>0</v>
      </c>
      <c r="D51" s="6" t="n">
        <v>0</v>
      </c>
      <c r="E51" s="6" t="n">
        <v>1.05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/>
      <c r="L51" s="6" t="n">
        <v>0</v>
      </c>
      <c r="M51" s="6" t="n">
        <v>2</v>
      </c>
      <c r="N51" s="7"/>
    </row>
    <row r="52" customFormat="false" ht="15" hidden="false" customHeight="false" outlineLevel="0" collapsed="false">
      <c r="A52" s="8" t="n">
        <v>45915</v>
      </c>
      <c r="B52" s="6" t="n">
        <v>448.3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/>
      <c r="L52" s="6" t="n">
        <v>0</v>
      </c>
      <c r="M52" s="6" t="n">
        <v>2</v>
      </c>
      <c r="N52" s="7"/>
    </row>
    <row r="53" customFormat="false" ht="15" hidden="false" customHeight="false" outlineLevel="0" collapsed="false">
      <c r="A53" s="8" t="n">
        <v>45922</v>
      </c>
      <c r="B53" s="6" t="n">
        <v>540.51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/>
      <c r="L53" s="6" t="n">
        <v>0</v>
      </c>
      <c r="M53" s="6" t="n">
        <v>2</v>
      </c>
      <c r="N53" s="7"/>
    </row>
    <row r="54" customFormat="false" ht="15" hidden="false" customHeight="false" outlineLevel="0" collapsed="false">
      <c r="A54" s="8" t="n">
        <v>45929</v>
      </c>
      <c r="B54" s="6" t="n">
        <v>152.3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/>
      <c r="L54" s="6" t="n">
        <v>0</v>
      </c>
      <c r="M54" s="6" t="n">
        <v>2</v>
      </c>
      <c r="N54" s="7"/>
    </row>
    <row r="55" customFormat="false" ht="15" hidden="false" customHeight="false" outlineLevel="0" collapsed="false">
      <c r="A55" s="8" t="n">
        <v>45936</v>
      </c>
      <c r="B55" s="6" t="n">
        <v>149.28</v>
      </c>
      <c r="C55" s="6" t="n">
        <v>0</v>
      </c>
      <c r="D55" s="6" t="n">
        <v>0</v>
      </c>
      <c r="E55" s="6" t="n">
        <v>1.87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/>
      <c r="L55" s="6" t="n">
        <v>0</v>
      </c>
      <c r="M55" s="6" t="n">
        <v>2</v>
      </c>
      <c r="N55" s="7"/>
    </row>
    <row r="56" customFormat="false" ht="15" hidden="false" customHeight="false" outlineLevel="0" collapsed="false">
      <c r="A56" s="8" t="n">
        <v>45943</v>
      </c>
      <c r="B56" s="6" t="n">
        <v>87.97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2.91</v>
      </c>
      <c r="H56" s="6" t="n">
        <v>0</v>
      </c>
      <c r="I56" s="6" t="n">
        <v>0</v>
      </c>
      <c r="J56" s="6" t="n">
        <v>0</v>
      </c>
      <c r="K56" s="6"/>
      <c r="L56" s="6" t="n">
        <v>0</v>
      </c>
      <c r="M56" s="6" t="n">
        <v>2</v>
      </c>
      <c r="N56" s="7"/>
    </row>
    <row r="57" customFormat="false" ht="15" hidden="false" customHeight="false" outlineLevel="0" collapsed="false">
      <c r="A57" s="8" t="n">
        <v>45950</v>
      </c>
      <c r="B57" s="6" t="n">
        <v>74.42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/>
      <c r="L57" s="6" t="n">
        <v>0</v>
      </c>
      <c r="M57" s="6" t="n">
        <v>2</v>
      </c>
      <c r="N57" s="7"/>
    </row>
    <row r="58" customFormat="false" ht="15" hidden="false" customHeight="false" outlineLevel="0" collapsed="false">
      <c r="A58" s="8" t="n">
        <v>45957</v>
      </c>
      <c r="B58" s="6" t="n">
        <v>155.54</v>
      </c>
      <c r="C58" s="6" t="n">
        <v>8.09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6.61</v>
      </c>
      <c r="I58" s="6" t="n">
        <v>0</v>
      </c>
      <c r="J58" s="6" t="n">
        <v>0</v>
      </c>
      <c r="K58" s="6"/>
      <c r="L58" s="6" t="n">
        <v>0</v>
      </c>
      <c r="M58" s="6" t="n">
        <v>2</v>
      </c>
      <c r="N58" s="7"/>
    </row>
    <row r="59" customFormat="false" ht="15" hidden="false" customHeight="false" outlineLevel="0" collapsed="false">
      <c r="A59" s="8" t="n">
        <v>45964</v>
      </c>
      <c r="B59" s="6" t="n">
        <v>27.34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/>
      <c r="L59" s="6" t="n">
        <v>0</v>
      </c>
      <c r="M59" s="6" t="n">
        <v>2</v>
      </c>
      <c r="N59" s="7"/>
    </row>
    <row r="60" customFormat="false" ht="15" hidden="false" customHeight="false" outlineLevel="0" collapsed="false">
      <c r="A60" s="8" t="n">
        <v>45971</v>
      </c>
      <c r="B60" s="6" t="n">
        <v>189.43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/>
      <c r="L60" s="6" t="n">
        <v>0</v>
      </c>
      <c r="M60" s="6" t="n">
        <v>2</v>
      </c>
      <c r="N60" s="7"/>
    </row>
    <row r="61" customFormat="false" ht="15" hidden="false" customHeight="false" outlineLevel="0" collapsed="false">
      <c r="A61" s="8" t="n">
        <v>45978</v>
      </c>
      <c r="B61" s="6" t="n">
        <v>17.32</v>
      </c>
      <c r="C61" s="6" t="n">
        <v>3.38</v>
      </c>
      <c r="D61" s="6" t="n">
        <v>0</v>
      </c>
      <c r="E61" s="6" t="n">
        <v>0</v>
      </c>
      <c r="F61" s="6" t="n">
        <v>0</v>
      </c>
      <c r="G61" s="6" t="n">
        <v>7.2</v>
      </c>
      <c r="H61" s="6" t="n">
        <v>0</v>
      </c>
      <c r="I61" s="6" t="n">
        <v>0</v>
      </c>
      <c r="J61" s="6" t="n">
        <v>0</v>
      </c>
      <c r="K61" s="6"/>
      <c r="L61" s="6" t="n">
        <v>0</v>
      </c>
      <c r="M61" s="6" t="n">
        <v>2</v>
      </c>
      <c r="N61" s="7"/>
    </row>
    <row r="62" customFormat="false" ht="15" hidden="false" customHeight="false" outlineLevel="0" collapsed="false">
      <c r="A62" s="8" t="n">
        <v>45985</v>
      </c>
      <c r="B62" s="6" t="n">
        <v>12.97</v>
      </c>
      <c r="C62" s="6" t="n">
        <v>16.43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16.41</v>
      </c>
      <c r="I62" s="6" t="n">
        <v>0</v>
      </c>
      <c r="J62" s="6" t="n">
        <v>0</v>
      </c>
      <c r="K62" s="6"/>
      <c r="L62" s="6" t="n">
        <v>0</v>
      </c>
      <c r="M62" s="6" t="n">
        <v>2</v>
      </c>
      <c r="N62" s="7"/>
    </row>
    <row r="63" customFormat="false" ht="15" hidden="false" customHeight="false" outlineLevel="0" collapsed="false">
      <c r="A63" s="8" t="n">
        <v>45992</v>
      </c>
      <c r="B63" s="6" t="n">
        <v>138.01</v>
      </c>
      <c r="C63" s="6" t="n">
        <v>16.25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16.63</v>
      </c>
      <c r="I63" s="6" t="n">
        <v>0</v>
      </c>
      <c r="J63" s="6" t="n">
        <v>0</v>
      </c>
      <c r="K63" s="6"/>
      <c r="L63" s="6" t="n">
        <v>0</v>
      </c>
      <c r="M63" s="6" t="n">
        <v>2</v>
      </c>
      <c r="N63" s="7"/>
    </row>
    <row r="64" customFormat="false" ht="15" hidden="false" customHeight="false" outlineLevel="0" collapsed="false">
      <c r="A64" s="8" t="n">
        <v>45999</v>
      </c>
      <c r="B64" s="6" t="n">
        <v>28.33</v>
      </c>
      <c r="C64" s="6" t="n">
        <v>20.81</v>
      </c>
      <c r="D64" s="6" t="n">
        <v>0</v>
      </c>
      <c r="E64" s="6" t="n">
        <v>12.17</v>
      </c>
      <c r="F64" s="6" t="n">
        <v>0</v>
      </c>
      <c r="G64" s="6" t="n">
        <v>0</v>
      </c>
      <c r="H64" s="6" t="n">
        <v>26.42</v>
      </c>
      <c r="I64" s="6" t="n">
        <v>0</v>
      </c>
      <c r="J64" s="6" t="n">
        <v>0</v>
      </c>
      <c r="K64" s="6"/>
      <c r="L64" s="6" t="n">
        <v>0</v>
      </c>
      <c r="M64" s="6" t="n">
        <v>3</v>
      </c>
      <c r="N64" s="7"/>
    </row>
    <row r="65" customFormat="false" ht="15" hidden="false" customHeight="false" outlineLevel="0" collapsed="false">
      <c r="A65" s="8" t="n">
        <v>46006</v>
      </c>
      <c r="B65" s="6" t="n">
        <v>16.99</v>
      </c>
      <c r="C65" s="6" t="n">
        <v>53.21</v>
      </c>
      <c r="D65" s="6" t="n">
        <v>0</v>
      </c>
      <c r="E65" s="6" t="n">
        <v>0</v>
      </c>
      <c r="F65" s="6" t="n">
        <v>0</v>
      </c>
      <c r="G65" s="6" t="n">
        <v>4.55</v>
      </c>
      <c r="H65" s="6" t="n">
        <v>36.39</v>
      </c>
      <c r="I65" s="6" t="n">
        <v>0</v>
      </c>
      <c r="J65" s="6" t="n">
        <v>0</v>
      </c>
      <c r="K65" s="6"/>
      <c r="L65" s="6" t="n">
        <v>0</v>
      </c>
      <c r="M65" s="6" t="n">
        <v>1</v>
      </c>
      <c r="N65" s="7"/>
    </row>
    <row r="66" customFormat="false" ht="15" hidden="false" customHeight="false" outlineLevel="0" collapsed="false">
      <c r="A66" s="8" t="n">
        <v>46013</v>
      </c>
      <c r="B66" s="6" t="n">
        <v>127.35</v>
      </c>
      <c r="C66" s="6" t="n">
        <v>139.1</v>
      </c>
      <c r="D66" s="6" t="n">
        <v>5.29</v>
      </c>
      <c r="E66" s="6" t="n">
        <v>21.56</v>
      </c>
      <c r="F66" s="6" t="n">
        <v>0</v>
      </c>
      <c r="G66" s="6" t="n">
        <v>4.21</v>
      </c>
      <c r="H66" s="6" t="n">
        <v>111.81</v>
      </c>
      <c r="I66" s="6" t="n">
        <v>0</v>
      </c>
      <c r="J66" s="6" t="n">
        <v>0</v>
      </c>
      <c r="K66" s="6"/>
      <c r="L66" s="6" t="n">
        <v>0</v>
      </c>
      <c r="M66" s="6" t="n">
        <v>2</v>
      </c>
      <c r="N66" s="7"/>
    </row>
    <row r="67" customFormat="false" ht="15" hidden="false" customHeight="false" outlineLevel="0" collapsed="false">
      <c r="A67" s="8" t="n">
        <v>46020</v>
      </c>
      <c r="B67" s="6" t="n">
        <v>47.61</v>
      </c>
      <c r="C67" s="6" t="n">
        <v>123.14</v>
      </c>
      <c r="D67" s="6" t="n">
        <v>5.6</v>
      </c>
      <c r="E67" s="6" t="n">
        <v>16.8</v>
      </c>
      <c r="F67" s="6" t="n">
        <v>0</v>
      </c>
      <c r="G67" s="6" t="n">
        <v>0</v>
      </c>
      <c r="H67" s="6" t="n">
        <v>152.07</v>
      </c>
      <c r="I67" s="6" t="n">
        <v>0</v>
      </c>
      <c r="J67" s="6" t="n">
        <v>0</v>
      </c>
      <c r="K67" s="6"/>
      <c r="L67" s="6" t="n">
        <v>0</v>
      </c>
      <c r="M67" s="6" t="n">
        <v>2</v>
      </c>
      <c r="N67" s="7"/>
    </row>
    <row r="68" customFormat="false" ht="15" hidden="false" customHeight="false" outlineLevel="0" collapsed="false">
      <c r="A68" s="8" t="n">
        <v>46027</v>
      </c>
      <c r="B68" s="6" t="n">
        <v>92.92</v>
      </c>
      <c r="C68" s="6" t="n">
        <v>141.62</v>
      </c>
      <c r="D68" s="6" t="n">
        <v>12.24</v>
      </c>
      <c r="E68" s="6" t="n">
        <v>18.57</v>
      </c>
      <c r="F68" s="6" t="n">
        <v>0</v>
      </c>
      <c r="G68" s="6" t="n">
        <v>3.6</v>
      </c>
      <c r="H68" s="6" t="n">
        <v>137.71</v>
      </c>
      <c r="I68" s="6" t="n">
        <v>0</v>
      </c>
      <c r="J68" s="6" t="n">
        <v>0</v>
      </c>
      <c r="K68" s="6"/>
      <c r="L68" s="6" t="n">
        <v>0</v>
      </c>
      <c r="M68" s="6" t="n">
        <v>2</v>
      </c>
      <c r="N68" s="7"/>
    </row>
    <row r="69" customFormat="false" ht="15" hidden="false" customHeight="false" outlineLevel="0" collapsed="false">
      <c r="A69" s="8" t="n">
        <v>46034</v>
      </c>
      <c r="B69" s="6" t="n">
        <v>85.55</v>
      </c>
      <c r="C69" s="6" t="n">
        <v>114.49</v>
      </c>
      <c r="D69" s="6" t="n">
        <v>9.62</v>
      </c>
      <c r="E69" s="6" t="n">
        <v>4.44</v>
      </c>
      <c r="F69" s="6" t="n">
        <v>0</v>
      </c>
      <c r="G69" s="6" t="n">
        <v>0</v>
      </c>
      <c r="H69" s="6" t="n">
        <v>96.44</v>
      </c>
      <c r="I69" s="6" t="n">
        <v>0</v>
      </c>
      <c r="J69" s="6" t="n">
        <v>0</v>
      </c>
      <c r="K69" s="6"/>
      <c r="L69" s="6" t="n">
        <v>0</v>
      </c>
      <c r="M69" s="6" t="n">
        <v>2</v>
      </c>
      <c r="N69" s="7"/>
    </row>
    <row r="70" customFormat="false" ht="15" hidden="false" customHeight="false" outlineLevel="0" collapsed="false">
      <c r="A70" s="8" t="n">
        <v>46041</v>
      </c>
      <c r="B70" s="6" t="n">
        <v>131.44</v>
      </c>
      <c r="C70" s="6" t="n">
        <v>133.02</v>
      </c>
      <c r="D70" s="6" t="n">
        <v>55.57</v>
      </c>
      <c r="E70" s="6" t="n">
        <v>10.31</v>
      </c>
      <c r="F70" s="6" t="n">
        <v>0</v>
      </c>
      <c r="G70" s="6" t="n">
        <v>4.45</v>
      </c>
      <c r="H70" s="6" t="n">
        <v>137.14</v>
      </c>
      <c r="I70" s="6" t="n">
        <v>0</v>
      </c>
      <c r="J70" s="6" t="n">
        <v>0</v>
      </c>
      <c r="K70" s="6"/>
      <c r="L70" s="6" t="n">
        <v>0</v>
      </c>
      <c r="M70" s="6" t="n">
        <v>2</v>
      </c>
      <c r="N70" s="7"/>
    </row>
    <row r="71" customFormat="false" ht="15" hidden="false" customHeight="false" outlineLevel="0" collapsed="false">
      <c r="A71" s="8" t="n">
        <v>46048</v>
      </c>
      <c r="B71" s="6" t="n">
        <v>51.47</v>
      </c>
      <c r="C71" s="6" t="n">
        <v>159.92</v>
      </c>
      <c r="D71" s="6" t="n">
        <v>10.8</v>
      </c>
      <c r="E71" s="6" t="n">
        <v>8.63</v>
      </c>
      <c r="F71" s="6" t="n">
        <v>0</v>
      </c>
      <c r="G71" s="6" t="n">
        <v>8.17</v>
      </c>
      <c r="H71" s="6" t="n">
        <v>166.41</v>
      </c>
      <c r="I71" s="6" t="n">
        <v>0</v>
      </c>
      <c r="J71" s="6" t="n">
        <v>0</v>
      </c>
      <c r="K71" s="6"/>
      <c r="L71" s="6" t="n">
        <v>0</v>
      </c>
      <c r="M71" s="6" t="n">
        <v>2</v>
      </c>
      <c r="N71" s="7"/>
    </row>
    <row r="72" customFormat="false" ht="15" hidden="false" customHeight="false" outlineLevel="0" collapsed="false">
      <c r="A72" s="8" t="n">
        <v>46055</v>
      </c>
      <c r="B72" s="6" t="n">
        <v>59.58</v>
      </c>
      <c r="C72" s="6" t="n">
        <v>270.51</v>
      </c>
      <c r="D72" s="6" t="n">
        <v>27.25</v>
      </c>
      <c r="E72" s="6" t="n">
        <v>37.41</v>
      </c>
      <c r="F72" s="6" t="n">
        <v>0</v>
      </c>
      <c r="G72" s="6" t="n">
        <v>26.42</v>
      </c>
      <c r="H72" s="6" t="n">
        <v>260.32</v>
      </c>
      <c r="I72" s="6" t="n">
        <v>0</v>
      </c>
      <c r="J72" s="6" t="n">
        <v>0</v>
      </c>
      <c r="K72" s="6"/>
      <c r="L72" s="6" t="n">
        <v>0</v>
      </c>
      <c r="M72" s="6" t="n">
        <v>2</v>
      </c>
      <c r="N72" s="7"/>
    </row>
    <row r="73" customFormat="false" ht="15" hidden="false" customHeight="false" outlineLevel="0" collapsed="false">
      <c r="A73" s="8" t="n">
        <v>46062</v>
      </c>
      <c r="B73" s="6" t="n">
        <v>76.77</v>
      </c>
      <c r="C73" s="6" t="n">
        <v>139.54</v>
      </c>
      <c r="D73" s="6" t="n">
        <v>49.72</v>
      </c>
      <c r="E73" s="6" t="n">
        <v>20.32</v>
      </c>
      <c r="F73" s="6" t="n">
        <v>0</v>
      </c>
      <c r="G73" s="6" t="n">
        <v>21.68</v>
      </c>
      <c r="H73" s="6" t="n">
        <v>97.4</v>
      </c>
      <c r="I73" s="6" t="n">
        <v>0</v>
      </c>
      <c r="J73" s="6" t="n">
        <v>0</v>
      </c>
      <c r="K73" s="6"/>
      <c r="L73" s="6" t="n">
        <v>0</v>
      </c>
      <c r="M73" s="6" t="n">
        <v>2</v>
      </c>
      <c r="N73" s="7"/>
    </row>
    <row r="74" customFormat="false" ht="15" hidden="false" customHeight="false" outlineLevel="0" collapsed="false">
      <c r="A74" s="8" t="n">
        <v>46069</v>
      </c>
      <c r="B74" s="6" t="n">
        <v>140.92</v>
      </c>
      <c r="C74" s="6" t="n">
        <v>97.8</v>
      </c>
      <c r="D74" s="6" t="n">
        <v>6.92</v>
      </c>
      <c r="E74" s="6" t="n">
        <v>5.19</v>
      </c>
      <c r="F74" s="6" t="n">
        <v>0</v>
      </c>
      <c r="G74" s="6" t="n">
        <v>8.8</v>
      </c>
      <c r="H74" s="6" t="n">
        <v>47.42</v>
      </c>
      <c r="I74" s="6" t="n">
        <v>0</v>
      </c>
      <c r="J74" s="6" t="n">
        <v>0</v>
      </c>
      <c r="K74" s="6"/>
      <c r="L74" s="6" t="n">
        <v>0</v>
      </c>
      <c r="M74" s="6" t="n">
        <v>2</v>
      </c>
      <c r="N74" s="7"/>
    </row>
    <row r="75" customFormat="false" ht="15" hidden="false" customHeight="false" outlineLevel="0" collapsed="false">
      <c r="A75" s="8" t="n">
        <v>46076</v>
      </c>
      <c r="B75" s="6" t="n">
        <v>41.84</v>
      </c>
      <c r="C75" s="6" t="n">
        <v>117.32</v>
      </c>
      <c r="D75" s="6" t="n">
        <v>88.98</v>
      </c>
      <c r="E75" s="6" t="n">
        <v>22.93</v>
      </c>
      <c r="F75" s="6" t="n">
        <v>0</v>
      </c>
      <c r="G75" s="6" t="n">
        <v>0</v>
      </c>
      <c r="H75" s="6" t="n">
        <v>106</v>
      </c>
      <c r="I75" s="6" t="n">
        <v>0</v>
      </c>
      <c r="J75" s="6" t="n">
        <v>0</v>
      </c>
      <c r="K75" s="6"/>
      <c r="L75" s="6" t="n">
        <v>0</v>
      </c>
      <c r="M75" s="6" t="n">
        <v>2</v>
      </c>
      <c r="N75" s="7"/>
    </row>
    <row r="76" customFormat="false" ht="15" hidden="false" customHeight="false" outlineLevel="0" collapsed="false">
      <c r="A76" s="8" t="n">
        <v>46083</v>
      </c>
      <c r="B76" s="6" t="n">
        <v>47.82</v>
      </c>
      <c r="C76" s="6" t="n">
        <v>19.17</v>
      </c>
      <c r="D76" s="6" t="n">
        <v>26.04</v>
      </c>
      <c r="E76" s="6" t="n">
        <v>43.46</v>
      </c>
      <c r="F76" s="6" t="n">
        <v>0</v>
      </c>
      <c r="G76" s="6" t="n">
        <v>3.36</v>
      </c>
      <c r="H76" s="6" t="n">
        <v>19.15</v>
      </c>
      <c r="I76" s="6" t="n">
        <v>0</v>
      </c>
      <c r="J76" s="6" t="n">
        <v>0</v>
      </c>
      <c r="K76" s="6"/>
      <c r="L76" s="6" t="n">
        <v>0</v>
      </c>
      <c r="M76" s="6" t="n">
        <v>2</v>
      </c>
      <c r="N76" s="7"/>
    </row>
    <row r="77" customFormat="false" ht="15" hidden="false" customHeight="false" outlineLevel="0" collapsed="false">
      <c r="A77" s="8" t="n">
        <v>46090</v>
      </c>
      <c r="B77" s="6" t="n">
        <v>257.15</v>
      </c>
      <c r="C77" s="6" t="n">
        <v>13.55</v>
      </c>
      <c r="D77" s="6" t="n">
        <v>27.71</v>
      </c>
      <c r="E77" s="6" t="n">
        <v>13.99</v>
      </c>
      <c r="F77" s="6" t="n">
        <v>0</v>
      </c>
      <c r="G77" s="6" t="n">
        <v>1.32</v>
      </c>
      <c r="H77" s="6" t="n">
        <v>9.23</v>
      </c>
      <c r="I77" s="6" t="n">
        <v>0</v>
      </c>
      <c r="J77" s="6" t="n">
        <v>0</v>
      </c>
      <c r="K77" s="6"/>
      <c r="L77" s="6" t="n">
        <v>0</v>
      </c>
      <c r="M77" s="6" t="n">
        <v>2</v>
      </c>
      <c r="N77" s="7"/>
    </row>
    <row r="78" customFormat="false" ht="15" hidden="false" customHeight="false" outlineLevel="0" collapsed="false">
      <c r="A78" s="8" t="n">
        <v>46097</v>
      </c>
      <c r="B78" s="6" t="n">
        <v>851.04</v>
      </c>
      <c r="C78" s="6" t="n">
        <v>0</v>
      </c>
      <c r="D78" s="6" t="n">
        <v>24.63</v>
      </c>
      <c r="E78" s="6" t="n">
        <v>33.67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/>
      <c r="L78" s="6" t="n">
        <v>0</v>
      </c>
      <c r="M78" s="6" t="n">
        <v>2</v>
      </c>
      <c r="N78" s="7"/>
    </row>
    <row r="79" customFormat="false" ht="15" hidden="false" customHeight="false" outlineLevel="0" collapsed="false">
      <c r="A79" s="8" t="n">
        <v>46104</v>
      </c>
      <c r="B79" s="6" t="n">
        <v>91.51</v>
      </c>
      <c r="C79" s="6" t="n">
        <v>0</v>
      </c>
      <c r="D79" s="6" t="n">
        <v>14.07</v>
      </c>
      <c r="E79" s="6" t="n">
        <v>28.07</v>
      </c>
      <c r="F79" s="6" t="n">
        <v>0</v>
      </c>
      <c r="G79" s="6" t="n">
        <v>2.27</v>
      </c>
      <c r="H79" s="6" t="n">
        <v>0</v>
      </c>
      <c r="I79" s="6" t="n">
        <v>0</v>
      </c>
      <c r="J79" s="6" t="n">
        <v>0</v>
      </c>
      <c r="K79" s="6"/>
      <c r="L79" s="6" t="n">
        <v>0</v>
      </c>
      <c r="M79" s="6" t="n">
        <v>2</v>
      </c>
      <c r="N79" s="7"/>
    </row>
    <row r="80" customFormat="false" ht="15" hidden="false" customHeight="false" outlineLevel="0" collapsed="false">
      <c r="A80" s="8" t="n">
        <v>46111</v>
      </c>
      <c r="B80" s="6" t="n">
        <v>43.31</v>
      </c>
      <c r="C80" s="6" t="n">
        <v>6.73</v>
      </c>
      <c r="D80" s="6" t="n">
        <v>18.24</v>
      </c>
      <c r="E80" s="6" t="n">
        <v>9.81</v>
      </c>
      <c r="F80" s="6" t="n">
        <v>0</v>
      </c>
      <c r="G80" s="6" t="n">
        <v>0</v>
      </c>
      <c r="H80" s="6" t="n">
        <v>2.4</v>
      </c>
      <c r="I80" s="6" t="n">
        <v>0</v>
      </c>
      <c r="J80" s="6" t="n">
        <v>0</v>
      </c>
      <c r="K80" s="6"/>
      <c r="L80" s="6" t="n">
        <v>0</v>
      </c>
      <c r="M80" s="6" t="n">
        <v>2</v>
      </c>
      <c r="N80" s="7"/>
    </row>
    <row r="81" customFormat="false" ht="15" hidden="false" customHeight="false" outlineLevel="0" collapsed="false">
      <c r="A81" s="8" t="n">
        <v>46118</v>
      </c>
      <c r="B81" s="6" t="n">
        <v>28.67</v>
      </c>
      <c r="C81" s="6" t="n">
        <v>2.19</v>
      </c>
      <c r="D81" s="6" t="n">
        <v>2.74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/>
      <c r="L81" s="6" t="n">
        <v>0</v>
      </c>
      <c r="M81" s="6" t="n">
        <v>2</v>
      </c>
      <c r="N81" s="7"/>
    </row>
    <row r="82" customFormat="false" ht="15" hidden="false" customHeight="false" outlineLevel="0" collapsed="false">
      <c r="A82" s="8" t="n">
        <v>46125</v>
      </c>
      <c r="B82" s="6" t="n">
        <v>24.94</v>
      </c>
      <c r="C82" s="6" t="n">
        <v>0</v>
      </c>
      <c r="D82" s="6" t="n">
        <v>16.56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/>
      <c r="L82" s="6" t="n">
        <v>0</v>
      </c>
      <c r="M82" s="6" t="n">
        <v>2</v>
      </c>
      <c r="N82" s="7"/>
    </row>
    <row r="83" customFormat="false" ht="15" hidden="false" customHeight="false" outlineLevel="0" collapsed="false">
      <c r="A83" s="8" t="n">
        <v>46132</v>
      </c>
      <c r="B83" s="6" t="n">
        <v>119.55</v>
      </c>
      <c r="C83" s="6" t="n">
        <v>0</v>
      </c>
      <c r="D83" s="6" t="n">
        <v>2.08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/>
      <c r="L83" s="6" t="n">
        <v>0</v>
      </c>
      <c r="M83" s="6" t="n">
        <v>2</v>
      </c>
      <c r="N83" s="7"/>
    </row>
    <row r="84" customFormat="false" ht="15" hidden="false" customHeight="false" outlineLevel="0" collapsed="false">
      <c r="A84" s="8" t="n">
        <v>46139</v>
      </c>
      <c r="B84" s="6" t="n">
        <v>50.13</v>
      </c>
      <c r="C84" s="6" t="n">
        <v>0</v>
      </c>
      <c r="D84" s="6" t="n">
        <v>6.67</v>
      </c>
      <c r="E84" s="6" t="n">
        <v>1.39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/>
      <c r="M84" s="6" t="n">
        <v>2</v>
      </c>
      <c r="N84" s="7"/>
    </row>
    <row r="85" customFormat="false" ht="15" hidden="false" customHeight="false" outlineLevel="0" collapsed="false">
      <c r="A85" s="8" t="n">
        <v>46146</v>
      </c>
      <c r="B85" s="6" t="n">
        <v>43.73</v>
      </c>
      <c r="C85" s="6" t="n">
        <v>0</v>
      </c>
      <c r="D85" s="6" t="n">
        <v>0</v>
      </c>
      <c r="E85" s="6" t="n">
        <v>9.49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/>
      <c r="M85" s="6" t="n">
        <v>2</v>
      </c>
      <c r="N85" s="7"/>
    </row>
    <row r="86" customFormat="false" ht="15" hidden="false" customHeight="false" outlineLevel="0" collapsed="false">
      <c r="A86" s="8" t="n">
        <v>46153</v>
      </c>
      <c r="B86" s="6" t="n">
        <v>34.45</v>
      </c>
      <c r="C86" s="6" t="n">
        <v>0</v>
      </c>
      <c r="D86" s="6" t="n">
        <v>15.8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/>
      <c r="M86" s="6" t="n">
        <v>2</v>
      </c>
      <c r="N86" s="7"/>
    </row>
    <row r="87" customFormat="false" ht="15" hidden="false" customHeight="false" outlineLevel="0" collapsed="false">
      <c r="A87" s="8" t="n">
        <v>46160</v>
      </c>
      <c r="B87" s="6" t="n">
        <v>3.05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/>
      <c r="M87" s="6" t="n">
        <v>2</v>
      </c>
      <c r="N87" s="7"/>
    </row>
    <row r="88" customFormat="false" ht="15" hidden="false" customHeight="false" outlineLevel="0" collapsed="false">
      <c r="A88" s="8" t="n">
        <v>46167</v>
      </c>
      <c r="B88" s="6" t="n">
        <v>10.8</v>
      </c>
      <c r="C88" s="6" t="n">
        <v>0</v>
      </c>
      <c r="D88" s="6" t="n">
        <v>20.8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/>
      <c r="M88" s="6" t="n">
        <v>2</v>
      </c>
      <c r="N88" s="7"/>
    </row>
    <row r="89" customFormat="false" ht="15" hidden="false" customHeight="false" outlineLevel="0" collapsed="false">
      <c r="A89" s="8" t="n">
        <v>46174</v>
      </c>
      <c r="B89" s="6" t="n">
        <v>24.63</v>
      </c>
      <c r="C89" s="6" t="n">
        <v>0</v>
      </c>
      <c r="D89" s="6" t="n">
        <v>3.69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/>
      <c r="M89" s="6" t="n">
        <v>2</v>
      </c>
      <c r="N89" s="7"/>
    </row>
    <row r="90" customFormat="false" ht="15" hidden="false" customHeight="false" outlineLevel="0" collapsed="false">
      <c r="A90" s="8" t="n">
        <v>46181</v>
      </c>
      <c r="B90" s="6" t="n">
        <v>0</v>
      </c>
      <c r="C90" s="6" t="n">
        <v>0</v>
      </c>
      <c r="D90" s="6" t="n">
        <v>3.79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/>
      <c r="M90" s="6" t="n">
        <v>2</v>
      </c>
      <c r="N90" s="7"/>
    </row>
    <row r="91" customFormat="false" ht="15" hidden="false" customHeight="false" outlineLevel="0" collapsed="false">
      <c r="A91" s="8" t="n">
        <v>46188</v>
      </c>
      <c r="B91" s="6" t="n">
        <v>5.77</v>
      </c>
      <c r="C91" s="6" t="n">
        <v>3.03</v>
      </c>
      <c r="D91" s="6" t="n">
        <v>8.01</v>
      </c>
      <c r="E91" s="6" t="n">
        <v>5.02</v>
      </c>
      <c r="F91" s="6" t="n">
        <v>0</v>
      </c>
      <c r="G91" s="6" t="n">
        <v>1.89</v>
      </c>
      <c r="H91" s="6" t="n">
        <v>0</v>
      </c>
      <c r="I91" s="6" t="n">
        <v>0</v>
      </c>
      <c r="J91" s="6" t="n">
        <v>0</v>
      </c>
      <c r="K91" s="6" t="n">
        <v>0</v>
      </c>
      <c r="L91" s="6"/>
      <c r="M91" s="6" t="n">
        <v>2</v>
      </c>
      <c r="N91" s="7"/>
    </row>
    <row r="92" customFormat="false" ht="15" hidden="false" customHeight="false" outlineLevel="0" collapsed="false">
      <c r="A92" s="8" t="n">
        <v>46195</v>
      </c>
      <c r="B92" s="6" t="n">
        <v>11.39</v>
      </c>
      <c r="C92" s="6" t="n">
        <v>0</v>
      </c>
      <c r="D92" s="6" t="n">
        <v>0</v>
      </c>
      <c r="E92" s="6" t="n">
        <v>4.46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/>
      <c r="M92" s="6" t="n">
        <v>2</v>
      </c>
      <c r="N92" s="7"/>
    </row>
    <row r="93" customFormat="false" ht="15" hidden="false" customHeight="false" outlineLevel="0" collapsed="false">
      <c r="A93" s="8" t="n">
        <v>46202</v>
      </c>
      <c r="B93" s="6" t="n">
        <v>23.98</v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/>
      <c r="M93" s="6" t="n">
        <v>2</v>
      </c>
      <c r="N93" s="7"/>
    </row>
    <row r="94" customFormat="false" ht="15" hidden="false" customHeight="false" outlineLevel="0" collapsed="false">
      <c r="A94" s="8" t="n">
        <v>46209</v>
      </c>
      <c r="B94" s="6" t="n">
        <v>48.64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/>
      <c r="M94" s="6" t="n">
        <v>2</v>
      </c>
      <c r="N94" s="7"/>
    </row>
    <row r="95" customFormat="false" ht="15" hidden="false" customHeight="false" outlineLevel="0" collapsed="false">
      <c r="A95" s="8" t="n">
        <v>46216</v>
      </c>
      <c r="B95" s="6" t="n">
        <v>77.11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/>
      <c r="M95" s="6" t="n">
        <v>2</v>
      </c>
      <c r="N95" s="7"/>
    </row>
    <row r="96" customFormat="false" ht="15" hidden="false" customHeight="false" outlineLevel="0" collapsed="false">
      <c r="A96" s="8" t="n">
        <v>46223</v>
      </c>
      <c r="B96" s="6" t="n">
        <v>14.89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/>
      <c r="M96" s="6" t="n">
        <v>2</v>
      </c>
      <c r="N96" s="7"/>
    </row>
    <row r="97" customFormat="false" ht="15" hidden="false" customHeight="false" outlineLevel="0" collapsed="false">
      <c r="A97" s="8" t="n">
        <v>46230</v>
      </c>
      <c r="B97" s="6" t="n">
        <v>36.38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/>
      <c r="M97" s="6" t="n">
        <v>2</v>
      </c>
      <c r="N97" s="7"/>
    </row>
    <row r="98" customFormat="false" ht="15" hidden="false" customHeight="false" outlineLevel="0" collapsed="false">
      <c r="A98" s="8" t="n">
        <v>46237</v>
      </c>
      <c r="B98" s="6" t="n">
        <v>114.95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/>
      <c r="M98" s="6" t="n">
        <v>2</v>
      </c>
      <c r="N98" s="7"/>
    </row>
    <row r="99" customFormat="false" ht="15" hidden="false" customHeight="false" outlineLevel="0" collapsed="false">
      <c r="A99" s="8" t="n">
        <v>46244</v>
      </c>
      <c r="B99" s="6" t="n">
        <v>310.23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/>
      <c r="M99" s="6" t="n">
        <v>2</v>
      </c>
      <c r="N99" s="7"/>
    </row>
    <row r="100" customFormat="false" ht="15" hidden="false" customHeight="false" outlineLevel="0" collapsed="false">
      <c r="A100" s="8" t="n">
        <v>46251</v>
      </c>
      <c r="B100" s="6" t="n">
        <v>386.12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/>
      <c r="M100" s="6" t="n">
        <v>2</v>
      </c>
      <c r="N100" s="7"/>
    </row>
    <row r="101" customFormat="false" ht="15" hidden="false" customHeight="false" outlineLevel="0" collapsed="false">
      <c r="A101" s="8" t="n">
        <v>46258</v>
      </c>
      <c r="B101" s="6" t="n">
        <v>48.83</v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/>
      <c r="M101" s="6" t="n">
        <v>2</v>
      </c>
      <c r="N101" s="7"/>
    </row>
    <row r="102" customFormat="false" ht="15" hidden="false" customHeight="false" outlineLevel="0" collapsed="false">
      <c r="A102" s="8" t="n">
        <v>46265</v>
      </c>
      <c r="B102" s="6" t="n">
        <v>62.2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/>
      <c r="M102" s="6" t="n">
        <v>2</v>
      </c>
      <c r="N102" s="7"/>
    </row>
    <row r="103" customFormat="false" ht="15" hidden="false" customHeight="false" outlineLevel="0" collapsed="false">
      <c r="A103" s="8" t="n">
        <v>46272</v>
      </c>
      <c r="B103" s="6" t="n">
        <v>199.55</v>
      </c>
      <c r="C103" s="6" t="n">
        <v>3.33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/>
      <c r="M103" s="6" t="n">
        <v>2</v>
      </c>
      <c r="N10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0" activePane="bottomLeft" state="frozen"/>
      <selection pane="topLeft" activeCell="A1" activeCellId="0" sqref="A1"/>
      <selection pane="bottomLeft" activeCell="C53" activeCellId="0" sqref="C53"/>
    </sheetView>
  </sheetViews>
  <sheetFormatPr defaultColWidth="8.6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31.5" hidden="false" customHeight="true" outlineLevel="0" collapsed="false">
      <c r="A1" s="4" t="s">
        <v>39</v>
      </c>
      <c r="B1" s="4" t="s">
        <v>81</v>
      </c>
      <c r="C1" s="4" t="s">
        <v>82</v>
      </c>
      <c r="D1" s="4" t="s">
        <v>83</v>
      </c>
      <c r="E1" s="4" t="s">
        <v>80</v>
      </c>
      <c r="F1" s="4" t="s">
        <v>84</v>
      </c>
      <c r="G1" s="4" t="s">
        <v>21</v>
      </c>
    </row>
    <row r="2" customFormat="false" ht="15" hidden="false" customHeight="false" outlineLevel="0" collapsed="false">
      <c r="A2" s="8" t="n">
        <v>46272</v>
      </c>
      <c r="B2" s="6"/>
      <c r="C2" s="6"/>
      <c r="D2" s="6"/>
      <c r="E2" s="6"/>
      <c r="F2" s="6"/>
      <c r="G2" s="7"/>
    </row>
    <row r="3" customFormat="false" ht="15" hidden="false" customHeight="false" outlineLevel="0" collapsed="false">
      <c r="A3" s="8" t="n">
        <v>46279</v>
      </c>
      <c r="B3" s="6"/>
      <c r="C3" s="6"/>
      <c r="D3" s="6"/>
      <c r="E3" s="6"/>
      <c r="F3" s="6"/>
      <c r="G3" s="7"/>
    </row>
    <row r="4" customFormat="false" ht="15" hidden="false" customHeight="false" outlineLevel="0" collapsed="false">
      <c r="A4" s="8" t="n">
        <v>46286</v>
      </c>
      <c r="B4" s="6"/>
      <c r="C4" s="6"/>
      <c r="D4" s="6"/>
      <c r="E4" s="6"/>
      <c r="F4" s="6"/>
      <c r="G4" s="7"/>
    </row>
    <row r="5" customFormat="false" ht="15" hidden="false" customHeight="false" outlineLevel="0" collapsed="false">
      <c r="A5" s="8" t="n">
        <v>46293</v>
      </c>
      <c r="B5" s="6"/>
      <c r="C5" s="6"/>
      <c r="D5" s="6"/>
      <c r="E5" s="6"/>
      <c r="F5" s="6"/>
      <c r="G5" s="7"/>
    </row>
    <row r="6" customFormat="false" ht="15" hidden="false" customHeight="false" outlineLevel="0" collapsed="false">
      <c r="A6" s="8" t="n">
        <v>46300</v>
      </c>
      <c r="B6" s="6"/>
      <c r="C6" s="6"/>
      <c r="D6" s="6"/>
      <c r="E6" s="6"/>
      <c r="F6" s="6"/>
      <c r="G6" s="7"/>
    </row>
    <row r="7" customFormat="false" ht="15" hidden="false" customHeight="false" outlineLevel="0" collapsed="false">
      <c r="A7" s="8" t="n">
        <v>46307</v>
      </c>
      <c r="B7" s="6"/>
      <c r="C7" s="6"/>
      <c r="D7" s="6"/>
      <c r="E7" s="6"/>
      <c r="F7" s="6"/>
      <c r="G7" s="7"/>
    </row>
    <row r="8" customFormat="false" ht="15" hidden="false" customHeight="false" outlineLevel="0" collapsed="false">
      <c r="A8" s="8" t="n">
        <v>46314</v>
      </c>
      <c r="B8" s="6"/>
      <c r="C8" s="6"/>
      <c r="D8" s="6"/>
      <c r="E8" s="6"/>
      <c r="F8" s="6"/>
      <c r="G8" s="7"/>
    </row>
    <row r="9" customFormat="false" ht="15" hidden="false" customHeight="false" outlineLevel="0" collapsed="false">
      <c r="A9" s="8" t="n">
        <v>46321</v>
      </c>
      <c r="B9" s="6"/>
      <c r="C9" s="6"/>
      <c r="D9" s="6"/>
      <c r="E9" s="6"/>
      <c r="F9" s="6"/>
      <c r="G9" s="7"/>
    </row>
    <row r="10" customFormat="false" ht="15" hidden="false" customHeight="false" outlineLevel="0" collapsed="false">
      <c r="A10" s="8" t="n">
        <v>46328</v>
      </c>
      <c r="B10" s="6"/>
      <c r="C10" s="6"/>
      <c r="D10" s="6"/>
      <c r="E10" s="6"/>
      <c r="F10" s="6"/>
      <c r="G10" s="7"/>
    </row>
    <row r="11" customFormat="false" ht="15" hidden="false" customHeight="false" outlineLevel="0" collapsed="false">
      <c r="A11" s="8" t="n">
        <v>46335</v>
      </c>
      <c r="B11" s="6"/>
      <c r="C11" s="6"/>
      <c r="D11" s="6"/>
      <c r="E11" s="6"/>
      <c r="F11" s="6"/>
      <c r="G11" s="7"/>
    </row>
    <row r="12" customFormat="false" ht="15" hidden="false" customHeight="false" outlineLevel="0" collapsed="false">
      <c r="A12" s="8" t="n">
        <v>46342</v>
      </c>
      <c r="B12" s="6"/>
      <c r="C12" s="6"/>
      <c r="D12" s="6"/>
      <c r="E12" s="6"/>
      <c r="F12" s="6"/>
      <c r="G12" s="7"/>
    </row>
    <row r="13" customFormat="false" ht="15" hidden="false" customHeight="false" outlineLevel="0" collapsed="false">
      <c r="A13" s="8" t="n">
        <v>46349</v>
      </c>
      <c r="B13" s="6"/>
      <c r="C13" s="6"/>
      <c r="D13" s="6"/>
      <c r="E13" s="6"/>
      <c r="F13" s="6"/>
      <c r="G13" s="7"/>
    </row>
    <row r="14" customFormat="false" ht="15" hidden="false" customHeight="false" outlineLevel="0" collapsed="false">
      <c r="A14" s="8" t="n">
        <v>46356</v>
      </c>
      <c r="B14" s="6"/>
      <c r="C14" s="6"/>
      <c r="D14" s="6"/>
      <c r="E14" s="6"/>
      <c r="F14" s="6"/>
      <c r="G14" s="7"/>
    </row>
    <row r="15" customFormat="false" ht="15" hidden="false" customHeight="false" outlineLevel="0" collapsed="false">
      <c r="A15" s="8" t="n">
        <v>46363</v>
      </c>
      <c r="B15" s="6"/>
      <c r="C15" s="6"/>
      <c r="D15" s="6"/>
      <c r="E15" s="6"/>
      <c r="F15" s="6"/>
      <c r="G15" s="7"/>
    </row>
    <row r="16" customFormat="false" ht="15" hidden="false" customHeight="false" outlineLevel="0" collapsed="false">
      <c r="A16" s="8" t="n">
        <v>46370</v>
      </c>
      <c r="B16" s="6"/>
      <c r="C16" s="6"/>
      <c r="D16" s="6"/>
      <c r="E16" s="6"/>
      <c r="F16" s="6"/>
      <c r="G16" s="7"/>
    </row>
    <row r="17" customFormat="false" ht="15" hidden="false" customHeight="false" outlineLevel="0" collapsed="false">
      <c r="A17" s="8" t="n">
        <v>46377</v>
      </c>
      <c r="B17" s="6"/>
      <c r="C17" s="6"/>
      <c r="D17" s="6"/>
      <c r="E17" s="6"/>
      <c r="F17" s="6"/>
      <c r="G17" s="7"/>
    </row>
    <row r="18" customFormat="false" ht="15" hidden="false" customHeight="false" outlineLevel="0" collapsed="false">
      <c r="A18" s="8" t="n">
        <v>46384</v>
      </c>
      <c r="B18" s="6"/>
      <c r="C18" s="6"/>
      <c r="D18" s="6"/>
      <c r="E18" s="6"/>
      <c r="F18" s="6"/>
      <c r="G18" s="7"/>
    </row>
    <row r="19" customFormat="false" ht="15" hidden="false" customHeight="false" outlineLevel="0" collapsed="false">
      <c r="A19" s="8" t="n">
        <v>46391</v>
      </c>
      <c r="B19" s="6"/>
      <c r="C19" s="6"/>
      <c r="D19" s="6"/>
      <c r="E19" s="6"/>
      <c r="F19" s="6"/>
      <c r="G19" s="7"/>
    </row>
    <row r="20" customFormat="false" ht="15" hidden="false" customHeight="false" outlineLevel="0" collapsed="false">
      <c r="A20" s="8" t="n">
        <v>46398</v>
      </c>
      <c r="B20" s="6"/>
      <c r="C20" s="6"/>
      <c r="D20" s="6"/>
      <c r="E20" s="6"/>
      <c r="F20" s="6"/>
      <c r="G20" s="7"/>
    </row>
    <row r="21" customFormat="false" ht="15" hidden="false" customHeight="false" outlineLevel="0" collapsed="false">
      <c r="A21" s="8" t="n">
        <v>46405</v>
      </c>
      <c r="B21" s="6"/>
      <c r="C21" s="6"/>
      <c r="D21" s="6"/>
      <c r="E21" s="6"/>
      <c r="F21" s="6"/>
      <c r="G21" s="7"/>
    </row>
    <row r="22" customFormat="false" ht="15" hidden="false" customHeight="false" outlineLevel="0" collapsed="false">
      <c r="A22" s="8" t="n">
        <v>46412</v>
      </c>
      <c r="B22" s="6"/>
      <c r="C22" s="6"/>
      <c r="D22" s="6"/>
      <c r="E22" s="6"/>
      <c r="F22" s="6"/>
      <c r="G22" s="7"/>
    </row>
    <row r="23" customFormat="false" ht="15" hidden="false" customHeight="false" outlineLevel="0" collapsed="false">
      <c r="A23" s="8" t="n">
        <v>46419</v>
      </c>
      <c r="B23" s="6"/>
      <c r="C23" s="6"/>
      <c r="D23" s="6"/>
      <c r="E23" s="6"/>
      <c r="F23" s="6"/>
      <c r="G23" s="7"/>
    </row>
    <row r="24" customFormat="false" ht="15" hidden="false" customHeight="false" outlineLevel="0" collapsed="false">
      <c r="A24" s="8" t="n">
        <v>46426</v>
      </c>
      <c r="B24" s="6"/>
      <c r="C24" s="6"/>
      <c r="D24" s="6"/>
      <c r="E24" s="6"/>
      <c r="F24" s="6"/>
      <c r="G24" s="7"/>
    </row>
    <row r="25" customFormat="false" ht="15" hidden="false" customHeight="false" outlineLevel="0" collapsed="false">
      <c r="A25" s="8" t="n">
        <v>46433</v>
      </c>
      <c r="B25" s="6"/>
      <c r="C25" s="6"/>
      <c r="D25" s="6"/>
      <c r="E25" s="6"/>
      <c r="F25" s="6"/>
      <c r="G25" s="7"/>
    </row>
    <row r="26" customFormat="false" ht="15" hidden="false" customHeight="false" outlineLevel="0" collapsed="false">
      <c r="A26" s="8" t="n">
        <v>46440</v>
      </c>
      <c r="B26" s="6"/>
      <c r="C26" s="6"/>
      <c r="D26" s="6"/>
      <c r="E26" s="6"/>
      <c r="F26" s="6"/>
      <c r="G26" s="7"/>
    </row>
    <row r="27" customFormat="false" ht="15" hidden="false" customHeight="false" outlineLevel="0" collapsed="false">
      <c r="A27" s="8" t="n">
        <v>46447</v>
      </c>
      <c r="B27" s="6"/>
      <c r="C27" s="6"/>
      <c r="D27" s="6"/>
      <c r="E27" s="6"/>
      <c r="F27" s="6"/>
      <c r="G27" s="7"/>
    </row>
    <row r="28" customFormat="false" ht="15" hidden="false" customHeight="false" outlineLevel="0" collapsed="false">
      <c r="A28" s="8" t="n">
        <v>46454</v>
      </c>
      <c r="B28" s="6"/>
      <c r="C28" s="6"/>
      <c r="D28" s="6"/>
      <c r="E28" s="6"/>
      <c r="F28" s="6"/>
      <c r="G28" s="7"/>
    </row>
    <row r="29" customFormat="false" ht="15" hidden="false" customHeight="false" outlineLevel="0" collapsed="false">
      <c r="A29" s="8" t="n">
        <v>46461</v>
      </c>
      <c r="B29" s="6"/>
      <c r="C29" s="6"/>
      <c r="D29" s="6"/>
      <c r="E29" s="6"/>
      <c r="F29" s="6"/>
      <c r="G29" s="7"/>
    </row>
    <row r="30" customFormat="false" ht="15" hidden="false" customHeight="false" outlineLevel="0" collapsed="false">
      <c r="A30" s="8" t="n">
        <v>46468</v>
      </c>
      <c r="B30" s="6"/>
      <c r="C30" s="6"/>
      <c r="D30" s="6"/>
      <c r="E30" s="6"/>
      <c r="F30" s="6"/>
      <c r="G30" s="7"/>
    </row>
    <row r="31" customFormat="false" ht="15" hidden="false" customHeight="false" outlineLevel="0" collapsed="false">
      <c r="A31" s="8" t="n">
        <v>46475</v>
      </c>
      <c r="B31" s="6"/>
      <c r="C31" s="6"/>
      <c r="D31" s="6"/>
      <c r="E31" s="6"/>
      <c r="F31" s="6"/>
      <c r="G31" s="7"/>
    </row>
    <row r="32" customFormat="false" ht="15" hidden="false" customHeight="false" outlineLevel="0" collapsed="false">
      <c r="A32" s="8" t="n">
        <v>46482</v>
      </c>
      <c r="B32" s="6"/>
      <c r="C32" s="6"/>
      <c r="D32" s="6"/>
      <c r="E32" s="6"/>
      <c r="F32" s="6"/>
      <c r="G32" s="7"/>
    </row>
    <row r="33" customFormat="false" ht="15" hidden="false" customHeight="false" outlineLevel="0" collapsed="false">
      <c r="A33" s="8" t="n">
        <v>46489</v>
      </c>
      <c r="B33" s="6"/>
      <c r="C33" s="6"/>
      <c r="D33" s="6"/>
      <c r="E33" s="6"/>
      <c r="F33" s="6"/>
      <c r="G33" s="7"/>
    </row>
    <row r="34" customFormat="false" ht="15" hidden="false" customHeight="false" outlineLevel="0" collapsed="false">
      <c r="A34" s="8" t="n">
        <v>46496</v>
      </c>
      <c r="B34" s="6"/>
      <c r="C34" s="6"/>
      <c r="D34" s="6"/>
      <c r="E34" s="6"/>
      <c r="F34" s="6"/>
      <c r="G34" s="7"/>
    </row>
    <row r="35" customFormat="false" ht="15" hidden="false" customHeight="false" outlineLevel="0" collapsed="false">
      <c r="A35" s="8" t="n">
        <v>46503</v>
      </c>
      <c r="B35" s="6"/>
      <c r="C35" s="6"/>
      <c r="D35" s="6"/>
      <c r="E35" s="6"/>
      <c r="F35" s="6"/>
      <c r="G35" s="7"/>
    </row>
    <row r="36" customFormat="false" ht="15" hidden="false" customHeight="false" outlineLevel="0" collapsed="false">
      <c r="A36" s="8" t="n">
        <v>46510</v>
      </c>
      <c r="B36" s="6"/>
      <c r="C36" s="6"/>
      <c r="D36" s="6"/>
      <c r="E36" s="6"/>
      <c r="F36" s="6"/>
      <c r="G36" s="7"/>
    </row>
    <row r="37" customFormat="false" ht="15" hidden="false" customHeight="false" outlineLevel="0" collapsed="false">
      <c r="A37" s="8" t="n">
        <v>46517</v>
      </c>
      <c r="B37" s="6"/>
      <c r="C37" s="6"/>
      <c r="D37" s="6"/>
      <c r="E37" s="6"/>
      <c r="F37" s="6"/>
      <c r="G37" s="7"/>
    </row>
    <row r="38" customFormat="false" ht="15" hidden="false" customHeight="false" outlineLevel="0" collapsed="false">
      <c r="A38" s="8" t="n">
        <v>46524</v>
      </c>
      <c r="B38" s="6"/>
      <c r="C38" s="6"/>
      <c r="D38" s="6"/>
      <c r="E38" s="6"/>
      <c r="F38" s="6"/>
      <c r="G38" s="7"/>
    </row>
    <row r="39" customFormat="false" ht="15" hidden="false" customHeight="false" outlineLevel="0" collapsed="false">
      <c r="A39" s="8" t="n">
        <v>46531</v>
      </c>
      <c r="B39" s="6"/>
      <c r="C39" s="6"/>
      <c r="D39" s="6"/>
      <c r="E39" s="6"/>
      <c r="F39" s="6"/>
      <c r="G39" s="7"/>
    </row>
    <row r="40" customFormat="false" ht="15" hidden="false" customHeight="false" outlineLevel="0" collapsed="false">
      <c r="A40" s="8" t="n">
        <v>46538</v>
      </c>
      <c r="B40" s="6"/>
      <c r="C40" s="6"/>
      <c r="D40" s="6"/>
      <c r="E40" s="6"/>
      <c r="F40" s="6"/>
      <c r="G40" s="7"/>
    </row>
    <row r="43" customFormat="false" ht="15" hidden="false" customHeight="false" outlineLevel="0" collapsed="false">
      <c r="A43" s="14" t="s">
        <v>93</v>
      </c>
    </row>
    <row r="44" customFormat="false" ht="31.5" hidden="false" customHeight="true" outlineLevel="0" collapsed="false">
      <c r="A44" s="4" t="s">
        <v>94</v>
      </c>
      <c r="B44" s="4" t="s">
        <v>95</v>
      </c>
      <c r="C44" s="4" t="s">
        <v>96</v>
      </c>
      <c r="D44" s="4" t="s">
        <v>97</v>
      </c>
      <c r="E44" s="4" t="s">
        <v>98</v>
      </c>
    </row>
    <row r="45" customFormat="false" ht="15" hidden="false" customHeight="false" outlineLevel="0" collapsed="false">
      <c r="A45" s="6" t="s">
        <v>81</v>
      </c>
      <c r="B45" s="6" t="s">
        <v>99</v>
      </c>
      <c r="C45" s="6" t="n">
        <v>-0.398</v>
      </c>
      <c r="D45" s="6" t="s">
        <v>100</v>
      </c>
      <c r="E45" s="8" t="n">
        <v>46274</v>
      </c>
    </row>
    <row r="46" customFormat="false" ht="15" hidden="false" customHeight="false" outlineLevel="0" collapsed="false">
      <c r="A46" s="6" t="s">
        <v>80</v>
      </c>
      <c r="B46" s="6" t="s">
        <v>99</v>
      </c>
      <c r="C46" s="6" t="s">
        <v>101</v>
      </c>
      <c r="D46" s="6" t="s">
        <v>102</v>
      </c>
      <c r="E46" s="8" t="n">
        <v>46274</v>
      </c>
    </row>
    <row r="47" customFormat="false" ht="15" hidden="false" customHeight="false" outlineLevel="0" collapsed="false">
      <c r="A47" s="6" t="s">
        <v>103</v>
      </c>
      <c r="B47" s="6" t="s">
        <v>99</v>
      </c>
      <c r="C47" s="6" t="s">
        <v>101</v>
      </c>
      <c r="D47" s="6" t="s">
        <v>102</v>
      </c>
      <c r="E47" s="8" t="n">
        <v>46274</v>
      </c>
    </row>
    <row r="48" customFormat="false" ht="15" hidden="false" customHeight="false" outlineLevel="0" collapsed="false">
      <c r="A48" s="6" t="s">
        <v>104</v>
      </c>
      <c r="B48" s="6" t="s">
        <v>99</v>
      </c>
      <c r="C48" s="6" t="s">
        <v>101</v>
      </c>
      <c r="D48" s="6" t="s">
        <v>102</v>
      </c>
      <c r="E48" s="8" t="n">
        <v>46274</v>
      </c>
    </row>
    <row r="49" customFormat="false" ht="15" hidden="false" customHeight="false" outlineLevel="0" collapsed="false">
      <c r="A49" s="6" t="s">
        <v>105</v>
      </c>
      <c r="B49" s="6" t="s">
        <v>99</v>
      </c>
      <c r="C49" s="6" t="s">
        <v>101</v>
      </c>
      <c r="D49" s="6" t="s">
        <v>102</v>
      </c>
      <c r="E49" s="8" t="n">
        <v>46274</v>
      </c>
    </row>
    <row r="50" customFormat="false" ht="15" hidden="false" customHeight="false" outlineLevel="0" collapsed="false">
      <c r="A50" s="6" t="s">
        <v>82</v>
      </c>
      <c r="B50" s="6" t="s">
        <v>106</v>
      </c>
      <c r="C50" s="6" t="s">
        <v>106</v>
      </c>
      <c r="D50" s="6" t="s">
        <v>102</v>
      </c>
      <c r="E50" s="8" t="n">
        <v>46274</v>
      </c>
    </row>
    <row r="51" customFormat="false" ht="15" hidden="false" customHeight="false" outlineLevel="0" collapsed="false">
      <c r="A51" s="6" t="s">
        <v>83</v>
      </c>
      <c r="B51" s="6" t="s">
        <v>99</v>
      </c>
      <c r="C51" s="6" t="s">
        <v>101</v>
      </c>
      <c r="D51" s="6" t="s">
        <v>102</v>
      </c>
      <c r="E51" s="8" t="n">
        <v>46274</v>
      </c>
    </row>
    <row r="52" customFormat="false" ht="15" hidden="false" customHeight="false" outlineLevel="0" collapsed="false">
      <c r="A52" s="12" t="s">
        <v>107</v>
      </c>
    </row>
  </sheetData>
  <dataValidations count="2">
    <dataValidation allowBlank="true" errorStyle="stop" operator="between" showDropDown="false" showErrorMessage="false" showInputMessage="false" sqref="D45:D51" type="list">
      <formula1>"Low,Medium,High"</formula1>
      <formula2>0</formula2>
    </dataValidation>
    <dataValidation allowBlank="true" errorStyle="stop" operator="between" showDropDown="false" showErrorMessage="false" showInputMessage="false" sqref="B45:B51" type="list">
      <formula1>"Upward,Downward,No Trend,Sporadic"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4" activeCellId="0" sqref="J14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4"/>
    <col collapsed="false" customWidth="true" hidden="false" outlineLevel="0" max="9" min="6" style="0" width="11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4" t="s">
        <v>39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21</v>
      </c>
    </row>
    <row r="2" customFormat="false" ht="15" hidden="false" customHeight="false" outlineLevel="0" collapsed="false">
      <c r="A2" s="8" t="n">
        <v>46272</v>
      </c>
      <c r="B2" s="15" t="n">
        <v>0.123</v>
      </c>
      <c r="C2" s="15" t="n">
        <v>0.0288</v>
      </c>
      <c r="D2" s="15" t="n">
        <v>0.0003</v>
      </c>
      <c r="E2" s="6"/>
      <c r="F2" s="6"/>
      <c r="G2" s="15"/>
      <c r="H2" s="15"/>
      <c r="I2" s="15"/>
      <c r="J2" s="7"/>
    </row>
    <row r="3" customFormat="false" ht="15" hidden="false" customHeight="false" outlineLevel="0" collapsed="false">
      <c r="A3" s="8" t="n">
        <v>46279</v>
      </c>
      <c r="B3" s="15" t="n">
        <v>0.121</v>
      </c>
      <c r="C3" s="15" t="n">
        <v>0.0397</v>
      </c>
      <c r="D3" s="15" t="n">
        <v>0.00036</v>
      </c>
      <c r="E3" s="6"/>
      <c r="F3" s="6"/>
      <c r="G3" s="15"/>
      <c r="H3" s="15"/>
      <c r="I3" s="15"/>
      <c r="J3" s="7"/>
    </row>
    <row r="4" customFormat="false" ht="15" hidden="false" customHeight="false" outlineLevel="0" collapsed="false">
      <c r="A4" s="8" t="n">
        <v>46286</v>
      </c>
      <c r="B4" s="15" t="n">
        <v>0.111</v>
      </c>
      <c r="C4" s="15" t="n">
        <v>0.052</v>
      </c>
      <c r="D4" s="15" t="n">
        <v>4.4E-005</v>
      </c>
      <c r="E4" s="6"/>
      <c r="F4" s="6"/>
      <c r="G4" s="15"/>
      <c r="H4" s="15"/>
      <c r="I4" s="15"/>
      <c r="J4" s="7"/>
    </row>
    <row r="5" customFormat="false" ht="15" hidden="false" customHeight="false" outlineLevel="0" collapsed="false">
      <c r="A5" s="8" t="n">
        <v>46293</v>
      </c>
      <c r="B5" s="15" t="n">
        <v>0.097</v>
      </c>
      <c r="C5" s="15" t="n">
        <v>0.066</v>
      </c>
      <c r="D5" s="15" t="n">
        <v>4.4E-005</v>
      </c>
      <c r="E5" s="6" t="s">
        <v>116</v>
      </c>
      <c r="F5" s="6"/>
      <c r="G5" s="15"/>
      <c r="H5" s="15"/>
      <c r="I5" s="15"/>
      <c r="J5" s="7"/>
    </row>
    <row r="6" customFormat="false" ht="15" hidden="false" customHeight="false" outlineLevel="0" collapsed="false">
      <c r="A6" s="8" t="n">
        <v>46300</v>
      </c>
      <c r="B6" s="15" t="n">
        <v>0.086</v>
      </c>
      <c r="C6" s="15" t="n">
        <v>0.088</v>
      </c>
      <c r="D6" s="15" t="n">
        <v>0.005</v>
      </c>
      <c r="E6" s="6" t="s">
        <v>116</v>
      </c>
      <c r="F6" s="6"/>
      <c r="G6" s="15"/>
      <c r="H6" s="15"/>
      <c r="I6" s="15"/>
      <c r="J6" s="7"/>
    </row>
    <row r="7" customFormat="false" ht="15" hidden="false" customHeight="false" outlineLevel="0" collapsed="false">
      <c r="A7" s="8" t="n">
        <v>46307</v>
      </c>
      <c r="B7" s="15"/>
      <c r="C7" s="15"/>
      <c r="D7" s="15"/>
      <c r="E7" s="6"/>
      <c r="F7" s="6"/>
      <c r="G7" s="15"/>
      <c r="H7" s="15"/>
      <c r="I7" s="15"/>
      <c r="J7" s="7"/>
    </row>
    <row r="8" customFormat="false" ht="15" hidden="false" customHeight="false" outlineLevel="0" collapsed="false">
      <c r="A8" s="8" t="n">
        <v>46314</v>
      </c>
      <c r="B8" s="15"/>
      <c r="C8" s="15"/>
      <c r="D8" s="15"/>
      <c r="E8" s="6"/>
      <c r="F8" s="6"/>
      <c r="G8" s="15"/>
      <c r="H8" s="15"/>
      <c r="I8" s="15"/>
      <c r="J8" s="7"/>
    </row>
    <row r="9" customFormat="false" ht="15" hidden="false" customHeight="false" outlineLevel="0" collapsed="false">
      <c r="A9" s="8" t="n">
        <v>46321</v>
      </c>
      <c r="B9" s="15"/>
      <c r="C9" s="15"/>
      <c r="D9" s="15"/>
      <c r="E9" s="6"/>
      <c r="F9" s="6"/>
      <c r="G9" s="15"/>
      <c r="H9" s="15"/>
      <c r="I9" s="15"/>
      <c r="J9" s="7"/>
    </row>
    <row r="10" customFormat="false" ht="15" hidden="false" customHeight="false" outlineLevel="0" collapsed="false">
      <c r="A10" s="8" t="n">
        <v>46328</v>
      </c>
      <c r="B10" s="15"/>
      <c r="C10" s="15"/>
      <c r="D10" s="15"/>
      <c r="E10" s="6"/>
      <c r="F10" s="6"/>
      <c r="G10" s="15"/>
      <c r="H10" s="15"/>
      <c r="I10" s="15"/>
      <c r="J10" s="7"/>
    </row>
    <row r="11" customFormat="false" ht="15" hidden="false" customHeight="false" outlineLevel="0" collapsed="false">
      <c r="A11" s="8" t="n">
        <v>46335</v>
      </c>
      <c r="B11" s="15"/>
      <c r="C11" s="15"/>
      <c r="D11" s="15"/>
      <c r="E11" s="6"/>
      <c r="F11" s="6"/>
      <c r="G11" s="15"/>
      <c r="H11" s="15"/>
      <c r="I11" s="15"/>
      <c r="J11" s="7"/>
    </row>
    <row r="12" customFormat="false" ht="15" hidden="false" customHeight="false" outlineLevel="0" collapsed="false">
      <c r="A12" s="8" t="n">
        <v>46342</v>
      </c>
      <c r="B12" s="15"/>
      <c r="C12" s="15"/>
      <c r="D12" s="15"/>
      <c r="E12" s="6"/>
      <c r="F12" s="6"/>
      <c r="G12" s="15"/>
      <c r="H12" s="15"/>
      <c r="I12" s="15"/>
      <c r="J12" s="7"/>
    </row>
    <row r="13" customFormat="false" ht="15" hidden="false" customHeight="false" outlineLevel="0" collapsed="false">
      <c r="A13" s="8" t="n">
        <v>46349</v>
      </c>
      <c r="B13" s="15"/>
      <c r="C13" s="15"/>
      <c r="D13" s="15"/>
      <c r="E13" s="6"/>
      <c r="F13" s="6"/>
      <c r="G13" s="15"/>
      <c r="H13" s="15"/>
      <c r="I13" s="15"/>
      <c r="J13" s="7"/>
    </row>
    <row r="14" customFormat="false" ht="15" hidden="false" customHeight="false" outlineLevel="0" collapsed="false">
      <c r="A14" s="8" t="n">
        <v>46356</v>
      </c>
      <c r="B14" s="15"/>
      <c r="C14" s="15"/>
      <c r="D14" s="15"/>
      <c r="E14" s="6"/>
      <c r="F14" s="6"/>
      <c r="G14" s="15"/>
      <c r="H14" s="15"/>
      <c r="I14" s="15"/>
      <c r="J14" s="7"/>
    </row>
    <row r="15" customFormat="false" ht="15" hidden="false" customHeight="false" outlineLevel="0" collapsed="false">
      <c r="A15" s="8" t="n">
        <v>46363</v>
      </c>
      <c r="B15" s="15"/>
      <c r="C15" s="15"/>
      <c r="D15" s="15"/>
      <c r="E15" s="6"/>
      <c r="F15" s="6"/>
      <c r="G15" s="15"/>
      <c r="H15" s="15"/>
      <c r="I15" s="15"/>
      <c r="J15" s="7"/>
    </row>
    <row r="16" customFormat="false" ht="15" hidden="false" customHeight="false" outlineLevel="0" collapsed="false">
      <c r="A16" s="8" t="n">
        <v>46370</v>
      </c>
      <c r="B16" s="15"/>
      <c r="C16" s="15"/>
      <c r="D16" s="15"/>
      <c r="E16" s="6"/>
      <c r="F16" s="6"/>
      <c r="G16" s="15"/>
      <c r="H16" s="15"/>
      <c r="I16" s="15"/>
      <c r="J16" s="7"/>
    </row>
    <row r="17" customFormat="false" ht="15" hidden="false" customHeight="false" outlineLevel="0" collapsed="false">
      <c r="A17" s="8" t="n">
        <v>46377</v>
      </c>
      <c r="B17" s="15"/>
      <c r="C17" s="15"/>
      <c r="D17" s="15"/>
      <c r="E17" s="6"/>
      <c r="F17" s="6"/>
      <c r="G17" s="15"/>
      <c r="H17" s="15"/>
      <c r="I17" s="15"/>
      <c r="J17" s="7"/>
    </row>
    <row r="18" customFormat="false" ht="15" hidden="false" customHeight="false" outlineLevel="0" collapsed="false">
      <c r="A18" s="8" t="n">
        <v>46384</v>
      </c>
      <c r="B18" s="15"/>
      <c r="C18" s="15"/>
      <c r="D18" s="15"/>
      <c r="E18" s="6"/>
      <c r="F18" s="6"/>
      <c r="G18" s="15"/>
      <c r="H18" s="15"/>
      <c r="I18" s="15"/>
      <c r="J18" s="7"/>
    </row>
    <row r="19" customFormat="false" ht="15" hidden="false" customHeight="false" outlineLevel="0" collapsed="false">
      <c r="A19" s="8" t="n">
        <v>46391</v>
      </c>
      <c r="B19" s="15"/>
      <c r="C19" s="15"/>
      <c r="D19" s="15"/>
      <c r="E19" s="6"/>
      <c r="F19" s="6"/>
      <c r="G19" s="15"/>
      <c r="H19" s="15"/>
      <c r="I19" s="15"/>
      <c r="J19" s="7"/>
    </row>
    <row r="20" customFormat="false" ht="15" hidden="false" customHeight="false" outlineLevel="0" collapsed="false">
      <c r="A20" s="8" t="n">
        <v>46398</v>
      </c>
      <c r="B20" s="15"/>
      <c r="C20" s="15"/>
      <c r="D20" s="15"/>
      <c r="E20" s="6"/>
      <c r="F20" s="6"/>
      <c r="G20" s="15"/>
      <c r="H20" s="15"/>
      <c r="I20" s="15"/>
      <c r="J20" s="7"/>
    </row>
    <row r="21" customFormat="false" ht="15" hidden="false" customHeight="false" outlineLevel="0" collapsed="false">
      <c r="A21" s="8" t="n">
        <v>46405</v>
      </c>
      <c r="B21" s="15"/>
      <c r="C21" s="15"/>
      <c r="D21" s="15"/>
      <c r="E21" s="6"/>
      <c r="F21" s="6"/>
      <c r="G21" s="15"/>
      <c r="H21" s="15"/>
      <c r="I21" s="15"/>
      <c r="J21" s="7"/>
    </row>
    <row r="22" customFormat="false" ht="15" hidden="false" customHeight="false" outlineLevel="0" collapsed="false">
      <c r="A22" s="8" t="n">
        <v>46412</v>
      </c>
      <c r="B22" s="15"/>
      <c r="C22" s="15"/>
      <c r="D22" s="15"/>
      <c r="E22" s="6"/>
      <c r="F22" s="6"/>
      <c r="G22" s="15"/>
      <c r="H22" s="15"/>
      <c r="I22" s="15"/>
      <c r="J22" s="7"/>
    </row>
    <row r="23" customFormat="false" ht="15" hidden="false" customHeight="false" outlineLevel="0" collapsed="false">
      <c r="A23" s="8" t="n">
        <v>46419</v>
      </c>
      <c r="B23" s="15"/>
      <c r="C23" s="15"/>
      <c r="D23" s="15"/>
      <c r="E23" s="6"/>
      <c r="F23" s="6"/>
      <c r="G23" s="15"/>
      <c r="H23" s="15"/>
      <c r="I23" s="15"/>
      <c r="J23" s="7"/>
    </row>
    <row r="24" customFormat="false" ht="15" hidden="false" customHeight="false" outlineLevel="0" collapsed="false">
      <c r="A24" s="8" t="n">
        <v>46426</v>
      </c>
      <c r="B24" s="15"/>
      <c r="C24" s="15"/>
      <c r="D24" s="15"/>
      <c r="E24" s="6"/>
      <c r="F24" s="6"/>
      <c r="G24" s="15"/>
      <c r="H24" s="15"/>
      <c r="I24" s="15"/>
      <c r="J24" s="7"/>
    </row>
    <row r="25" customFormat="false" ht="15" hidden="false" customHeight="false" outlineLevel="0" collapsed="false">
      <c r="A25" s="8" t="n">
        <v>46433</v>
      </c>
      <c r="B25" s="15"/>
      <c r="C25" s="15"/>
      <c r="D25" s="15"/>
      <c r="E25" s="6"/>
      <c r="F25" s="6"/>
      <c r="G25" s="15"/>
      <c r="H25" s="15"/>
      <c r="I25" s="15"/>
      <c r="J25" s="7"/>
    </row>
    <row r="26" customFormat="false" ht="15" hidden="false" customHeight="false" outlineLevel="0" collapsed="false">
      <c r="A26" s="8" t="n">
        <v>46440</v>
      </c>
      <c r="B26" s="15"/>
      <c r="C26" s="15"/>
      <c r="D26" s="15"/>
      <c r="E26" s="6"/>
      <c r="F26" s="6"/>
      <c r="G26" s="15"/>
      <c r="H26" s="15"/>
      <c r="I26" s="15"/>
      <c r="J26" s="7"/>
    </row>
    <row r="27" customFormat="false" ht="15" hidden="false" customHeight="false" outlineLevel="0" collapsed="false">
      <c r="A27" s="8" t="n">
        <v>46447</v>
      </c>
      <c r="B27" s="15"/>
      <c r="C27" s="15"/>
      <c r="D27" s="15"/>
      <c r="E27" s="6"/>
      <c r="F27" s="6"/>
      <c r="G27" s="15"/>
      <c r="H27" s="15"/>
      <c r="I27" s="15"/>
      <c r="J27" s="7"/>
    </row>
    <row r="28" customFormat="false" ht="15" hidden="false" customHeight="false" outlineLevel="0" collapsed="false">
      <c r="A28" s="8" t="n">
        <v>46454</v>
      </c>
      <c r="B28" s="15"/>
      <c r="C28" s="15"/>
      <c r="D28" s="15"/>
      <c r="E28" s="6"/>
      <c r="F28" s="6"/>
      <c r="G28" s="15"/>
      <c r="H28" s="15"/>
      <c r="I28" s="15"/>
      <c r="J28" s="7"/>
    </row>
    <row r="29" customFormat="false" ht="15" hidden="false" customHeight="false" outlineLevel="0" collapsed="false">
      <c r="A29" s="8" t="n">
        <v>46461</v>
      </c>
      <c r="B29" s="15"/>
      <c r="C29" s="15"/>
      <c r="D29" s="15"/>
      <c r="E29" s="6"/>
      <c r="F29" s="6"/>
      <c r="G29" s="15"/>
      <c r="H29" s="15"/>
      <c r="I29" s="15"/>
      <c r="J29" s="7"/>
    </row>
    <row r="30" customFormat="false" ht="15" hidden="false" customHeight="false" outlineLevel="0" collapsed="false">
      <c r="A30" s="8" t="n">
        <v>46468</v>
      </c>
      <c r="B30" s="15"/>
      <c r="C30" s="15"/>
      <c r="D30" s="15"/>
      <c r="E30" s="6"/>
      <c r="F30" s="6"/>
      <c r="G30" s="15"/>
      <c r="H30" s="15"/>
      <c r="I30" s="15"/>
      <c r="J30" s="7"/>
    </row>
    <row r="31" customFormat="false" ht="15" hidden="false" customHeight="false" outlineLevel="0" collapsed="false">
      <c r="A31" s="8" t="n">
        <v>46475</v>
      </c>
      <c r="B31" s="15"/>
      <c r="C31" s="15"/>
      <c r="D31" s="15"/>
      <c r="E31" s="6"/>
      <c r="F31" s="6"/>
      <c r="G31" s="15"/>
      <c r="H31" s="15"/>
      <c r="I31" s="15"/>
      <c r="J31" s="7"/>
    </row>
    <row r="32" customFormat="false" ht="15" hidden="false" customHeight="false" outlineLevel="0" collapsed="false">
      <c r="A32" s="8" t="n">
        <v>46482</v>
      </c>
      <c r="B32" s="15"/>
      <c r="C32" s="15"/>
      <c r="D32" s="15"/>
      <c r="E32" s="6"/>
      <c r="F32" s="6"/>
      <c r="G32" s="15"/>
      <c r="H32" s="15"/>
      <c r="I32" s="15"/>
      <c r="J32" s="7"/>
    </row>
    <row r="33" customFormat="false" ht="15" hidden="false" customHeight="false" outlineLevel="0" collapsed="false">
      <c r="A33" s="8" t="n">
        <v>46489</v>
      </c>
      <c r="B33" s="15"/>
      <c r="C33" s="15"/>
      <c r="D33" s="15"/>
      <c r="E33" s="6"/>
      <c r="F33" s="6"/>
      <c r="G33" s="15"/>
      <c r="H33" s="15"/>
      <c r="I33" s="15"/>
      <c r="J33" s="7"/>
    </row>
    <row r="34" customFormat="false" ht="15" hidden="false" customHeight="false" outlineLevel="0" collapsed="false">
      <c r="A34" s="8" t="n">
        <v>46496</v>
      </c>
      <c r="B34" s="15"/>
      <c r="C34" s="15"/>
      <c r="D34" s="15"/>
      <c r="E34" s="6"/>
      <c r="F34" s="6"/>
      <c r="G34" s="15"/>
      <c r="H34" s="15"/>
      <c r="I34" s="15"/>
      <c r="J34" s="7"/>
    </row>
    <row r="35" customFormat="false" ht="15" hidden="false" customHeight="false" outlineLevel="0" collapsed="false">
      <c r="A35" s="8" t="n">
        <v>46503</v>
      </c>
      <c r="B35" s="15"/>
      <c r="C35" s="15"/>
      <c r="D35" s="15"/>
      <c r="E35" s="6"/>
      <c r="F35" s="6"/>
      <c r="G35" s="15"/>
      <c r="H35" s="15"/>
      <c r="I35" s="15"/>
      <c r="J35" s="7"/>
    </row>
    <row r="36" customFormat="false" ht="15" hidden="false" customHeight="false" outlineLevel="0" collapsed="false">
      <c r="A36" s="8" t="n">
        <v>46510</v>
      </c>
      <c r="B36" s="15"/>
      <c r="C36" s="15"/>
      <c r="D36" s="15"/>
      <c r="E36" s="6"/>
      <c r="F36" s="6"/>
      <c r="G36" s="15"/>
      <c r="H36" s="15"/>
      <c r="I36" s="15"/>
      <c r="J36" s="7"/>
    </row>
    <row r="37" customFormat="false" ht="15" hidden="false" customHeight="false" outlineLevel="0" collapsed="false">
      <c r="A37" s="8" t="n">
        <v>46517</v>
      </c>
      <c r="B37" s="15"/>
      <c r="C37" s="15"/>
      <c r="D37" s="15"/>
      <c r="E37" s="6"/>
      <c r="F37" s="6"/>
      <c r="G37" s="15"/>
      <c r="H37" s="15"/>
      <c r="I37" s="15"/>
      <c r="J37" s="7"/>
    </row>
    <row r="38" customFormat="false" ht="15" hidden="false" customHeight="false" outlineLevel="0" collapsed="false">
      <c r="A38" s="8" t="n">
        <v>46524</v>
      </c>
      <c r="B38" s="15"/>
      <c r="C38" s="15"/>
      <c r="D38" s="15"/>
      <c r="E38" s="6"/>
      <c r="F38" s="6"/>
      <c r="G38" s="15"/>
      <c r="H38" s="15"/>
      <c r="I38" s="15"/>
      <c r="J38" s="7"/>
    </row>
    <row r="39" customFormat="false" ht="15" hidden="false" customHeight="false" outlineLevel="0" collapsed="false">
      <c r="A39" s="8" t="n">
        <v>46531</v>
      </c>
      <c r="B39" s="15"/>
      <c r="C39" s="15"/>
      <c r="D39" s="15"/>
      <c r="E39" s="6"/>
      <c r="F39" s="6"/>
      <c r="G39" s="15"/>
      <c r="H39" s="15"/>
      <c r="I39" s="15"/>
      <c r="J39" s="7"/>
    </row>
    <row r="40" customFormat="false" ht="15" hidden="false" customHeight="false" outlineLevel="0" collapsed="false">
      <c r="A40" s="8" t="n">
        <v>46538</v>
      </c>
      <c r="B40" s="15"/>
      <c r="C40" s="15"/>
      <c r="D40" s="15"/>
      <c r="E40" s="6"/>
      <c r="F40" s="6"/>
      <c r="G40" s="15"/>
      <c r="H40" s="15"/>
      <c r="I40" s="15"/>
      <c r="J40" s="7"/>
    </row>
    <row r="44" customFormat="false" ht="15" hidden="false" customHeight="false" outlineLevel="0" collapsed="false">
      <c r="A44" s="16" t="s">
        <v>117</v>
      </c>
    </row>
  </sheetData>
  <dataValidations count="1">
    <dataValidation allowBlank="true" errorStyle="stop" operator="between" showDropDown="false" showErrorMessage="false" showInputMessage="false" sqref="E2:E200" type="list">
      <formula1>"Minimal,Low,Moderate,High,Very High"</formula1>
      <formula2>0</formula2>
    </dataValidation>
  </dataValidations>
  <hyperlinks>
    <hyperlink ref="A44" r:id="rId2" display="https://www.cdph.ca.gov/Programs/CID/DCDC/Pages/RespiratoryVirusReport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4" t="s">
        <v>58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</row>
    <row r="2" customFormat="false" ht="15" hidden="false" customHeight="false" outlineLevel="0" collapsed="false">
      <c r="A2" s="6" t="s">
        <v>77</v>
      </c>
      <c r="B2" s="6" t="s">
        <v>124</v>
      </c>
      <c r="C2" s="6" t="n">
        <v>4</v>
      </c>
      <c r="D2" s="6" t="n">
        <v>2</v>
      </c>
      <c r="E2" s="6" t="n">
        <v>1</v>
      </c>
      <c r="F2" s="5" t="n">
        <f aca="false">SUM(C2:E2)</f>
        <v>7</v>
      </c>
      <c r="G2" s="10" t="n">
        <f aca="false">IF(F2=0,"",D2/F2)</f>
        <v>0.285714285714286</v>
      </c>
    </row>
    <row r="3" customFormat="false" ht="15" hidden="false" customHeight="false" outlineLevel="0" collapsed="false">
      <c r="A3" s="6" t="s">
        <v>77</v>
      </c>
      <c r="B3" s="6" t="s">
        <v>125</v>
      </c>
      <c r="C3" s="6" t="n">
        <v>5</v>
      </c>
      <c r="D3" s="6" t="n">
        <v>0</v>
      </c>
      <c r="E3" s="6" t="n">
        <v>0</v>
      </c>
      <c r="F3" s="5" t="n">
        <f aca="false">SUM(C3:E3)</f>
        <v>5</v>
      </c>
      <c r="G3" s="10" t="n">
        <f aca="false">IF(F3=0,"",D3/F3)</f>
        <v>0</v>
      </c>
    </row>
    <row r="4" customFormat="false" ht="15" hidden="false" customHeight="false" outlineLevel="0" collapsed="false">
      <c r="A4" s="6" t="s">
        <v>77</v>
      </c>
      <c r="B4" s="6" t="s">
        <v>126</v>
      </c>
      <c r="C4" s="6" t="n">
        <v>4</v>
      </c>
      <c r="D4" s="6" t="n">
        <v>0</v>
      </c>
      <c r="E4" s="6" t="n">
        <v>1</v>
      </c>
      <c r="F4" s="5" t="n">
        <f aca="false">SUM(C4:E4)</f>
        <v>5</v>
      </c>
      <c r="G4" s="10" t="n">
        <f aca="false">IF(F4=0,"",D4/F4)</f>
        <v>0</v>
      </c>
    </row>
    <row r="5" customFormat="false" ht="15" hidden="false" customHeight="false" outlineLevel="0" collapsed="false">
      <c r="A5" s="6" t="s">
        <v>77</v>
      </c>
      <c r="B5" s="6" t="s">
        <v>127</v>
      </c>
      <c r="C5" s="6" t="n">
        <v>2</v>
      </c>
      <c r="D5" s="6" t="n">
        <v>0</v>
      </c>
      <c r="E5" s="6" t="n">
        <v>1</v>
      </c>
      <c r="F5" s="5" t="n">
        <f aca="false">SUM(C5:E5)</f>
        <v>3</v>
      </c>
      <c r="G5" s="10" t="n">
        <f aca="false">IF(F5=0,"",D5/F5)</f>
        <v>0</v>
      </c>
    </row>
    <row r="6" customFormat="false" ht="15" hidden="false" customHeight="false" outlineLevel="0" collapsed="false">
      <c r="A6" s="6" t="s">
        <v>77</v>
      </c>
      <c r="B6" s="6" t="s">
        <v>128</v>
      </c>
      <c r="C6" s="6" t="n">
        <v>1</v>
      </c>
      <c r="D6" s="6" t="n">
        <v>0</v>
      </c>
      <c r="E6" s="6" t="n">
        <v>0</v>
      </c>
      <c r="F6" s="5" t="n">
        <f aca="false">SUM(C6:E6)</f>
        <v>1</v>
      </c>
      <c r="G6" s="10" t="n">
        <f aca="false">IF(F6=0,"",D6/F6)</f>
        <v>0</v>
      </c>
    </row>
    <row r="7" customFormat="false" ht="15" hidden="false" customHeight="false" outlineLevel="0" collapsed="false">
      <c r="A7" s="6" t="s">
        <v>23</v>
      </c>
      <c r="B7" s="6" t="s">
        <v>124</v>
      </c>
      <c r="C7" s="6"/>
      <c r="D7" s="6"/>
      <c r="E7" s="6"/>
      <c r="F7" s="5" t="n">
        <f aca="false">SUM(C7:E7)</f>
        <v>0</v>
      </c>
      <c r="G7" s="10" t="str">
        <f aca="false">IF(F7=0,"",D7/F7)</f>
        <v/>
      </c>
    </row>
    <row r="8" customFormat="false" ht="15" hidden="false" customHeight="false" outlineLevel="0" collapsed="false">
      <c r="A8" s="6" t="s">
        <v>23</v>
      </c>
      <c r="B8" s="6" t="s">
        <v>125</v>
      </c>
      <c r="C8" s="6"/>
      <c r="D8" s="6"/>
      <c r="E8" s="6"/>
      <c r="F8" s="5" t="n">
        <f aca="false">SUM(C8:E8)</f>
        <v>0</v>
      </c>
      <c r="G8" s="10" t="str">
        <f aca="false">IF(F8=0,"",D8/F8)</f>
        <v/>
      </c>
    </row>
    <row r="9" customFormat="false" ht="15" hidden="false" customHeight="false" outlineLevel="0" collapsed="false">
      <c r="A9" s="6" t="s">
        <v>23</v>
      </c>
      <c r="B9" s="6" t="s">
        <v>126</v>
      </c>
      <c r="C9" s="6"/>
      <c r="D9" s="6"/>
      <c r="E9" s="6"/>
      <c r="F9" s="5" t="n">
        <f aca="false">SUM(C9:E9)</f>
        <v>0</v>
      </c>
      <c r="G9" s="10" t="str">
        <f aca="false">IF(F9=0,"",D9/F9)</f>
        <v/>
      </c>
    </row>
    <row r="10" customFormat="false" ht="15" hidden="false" customHeight="false" outlineLevel="0" collapsed="false">
      <c r="A10" s="6" t="s">
        <v>23</v>
      </c>
      <c r="B10" s="6" t="s">
        <v>127</v>
      </c>
      <c r="C10" s="6"/>
      <c r="D10" s="6"/>
      <c r="E10" s="6"/>
      <c r="F10" s="5" t="n">
        <f aca="false">SUM(C10:E10)</f>
        <v>0</v>
      </c>
      <c r="G10" s="10" t="str">
        <f aca="false">IF(F10=0,"",D10/F10)</f>
        <v/>
      </c>
    </row>
    <row r="11" customFormat="false" ht="15" hidden="false" customHeight="false" outlineLevel="0" collapsed="false">
      <c r="A11" s="6" t="s">
        <v>23</v>
      </c>
      <c r="B11" s="6" t="s">
        <v>128</v>
      </c>
      <c r="C11" s="6"/>
      <c r="D11" s="6"/>
      <c r="E11" s="6"/>
      <c r="F11" s="5" t="n">
        <f aca="false">SUM(C11:E11)</f>
        <v>0</v>
      </c>
      <c r="G11" s="10" t="str">
        <f aca="false">IF(F11=0,"",D11/F11)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31.5" hidden="false" customHeight="true" outlineLevel="0" collapsed="false">
      <c r="A1" s="4" t="s">
        <v>129</v>
      </c>
      <c r="B1" s="4" t="s">
        <v>130</v>
      </c>
      <c r="C1" s="4" t="s">
        <v>131</v>
      </c>
    </row>
    <row r="2" customFormat="false" ht="27.75" hidden="false" customHeight="true" outlineLevel="0" collapsed="false">
      <c r="A2" s="8" t="n">
        <v>46111</v>
      </c>
      <c r="B2" s="9" t="s">
        <v>132</v>
      </c>
      <c r="C2" s="6" t="s">
        <v>133</v>
      </c>
    </row>
    <row r="3" customFormat="false" ht="15" hidden="false" customHeight="false" outlineLevel="0" collapsed="false">
      <c r="A3" s="8" t="n">
        <v>46111</v>
      </c>
      <c r="B3" s="9" t="s">
        <v>134</v>
      </c>
      <c r="C3" s="6" t="s">
        <v>117</v>
      </c>
    </row>
    <row r="4" customFormat="false" ht="15" hidden="false" customHeight="false" outlineLevel="0" collapsed="false">
      <c r="A4" s="17" t="n">
        <v>46308</v>
      </c>
      <c r="B4" s="18" t="s">
        <v>135</v>
      </c>
    </row>
    <row r="5" customFormat="false" ht="15" hidden="false" customHeight="false" outlineLevel="0" collapsed="false">
      <c r="A5" s="17" t="n">
        <v>46308</v>
      </c>
      <c r="B5" s="18" t="s">
        <v>136</v>
      </c>
    </row>
    <row r="6" customFormat="false" ht="15" hidden="false" customHeight="false" outlineLevel="0" collapsed="false">
      <c r="A6" s="17" t="n">
        <v>46308</v>
      </c>
      <c r="B6" s="18" t="s">
        <v>137</v>
      </c>
    </row>
    <row r="7" customFormat="false" ht="15" hidden="false" customHeight="false" outlineLevel="0" collapsed="false">
      <c r="A7" s="17" t="n">
        <v>46308</v>
      </c>
      <c r="B7" s="18" t="s">
        <v>138</v>
      </c>
      <c r="C7" s="18" t="s">
        <v>117</v>
      </c>
    </row>
    <row r="8" customFormat="false" ht="15" hidden="false" customHeight="false" outlineLevel="0" collapsed="false">
      <c r="A8" s="17" t="n">
        <v>46308</v>
      </c>
      <c r="B8" s="18" t="s">
        <v>139</v>
      </c>
      <c r="C8" s="18" t="s">
        <v>133</v>
      </c>
    </row>
  </sheetData>
  <hyperlinks>
    <hyperlink ref="C7" r:id="rId1" display="https://www.cdph.ca.gov/Programs/CID/DCDC/Pages/RespiratoryVirusReport.aspx"/>
    <hyperlink ref="C8" r:id="rId2" display="https://www.cdph.ca.gov/Programs/CID/DCDC/Pages/Respiratory-Viruses/Home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2026-09-15T17:05:57Z</dcterms:created>
  <dc:creator>openpyxl</dc:creator>
  <dc:description/>
  <dc:language>en-US</dc:language>
  <cp:lastModifiedBy>Emily Janoff</cp:lastModifiedBy>
  <dcterms:modified xsi:type="dcterms:W3CDTF">2026-10-13T15:05:53Z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