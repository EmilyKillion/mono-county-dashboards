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emilyjanoff/Desktop/MCPH/Reports/Resp Virus Reports/26-27/"/>
    </mc:Choice>
  </mc:AlternateContent>
  <xr:revisionPtr revIDLastSave="0" documentId="13_ncr:1_{33039559-486A-2243-920D-163B0E2DF733}" xr6:coauthVersionLast="47" xr6:coauthVersionMax="47" xr10:uidLastSave="{00000000-0000-0000-0000-000000000000}"/>
  <bookViews>
    <workbookView xWindow="1480" yWindow="3620" windowWidth="29440" windowHeight="19780" tabRatio="500" activeTab="7" xr2:uid="{00000000-000D-0000-FFFF-FFFF00000000}"/>
  </bookViews>
  <sheets>
    <sheet name="README" sheetId="1" r:id="rId1"/>
    <sheet name="Config" sheetId="2" r:id="rId2"/>
    <sheet name="Weekly_Local" sheetId="3" r:id="rId3"/>
    <sheet name="Weekly_ELR" sheetId="4" r:id="rId4"/>
    <sheet name="Seasons" sheetId="5" r:id="rId5"/>
    <sheet name="Wastewater_History" sheetId="6" r:id="rId6"/>
    <sheet name="Wastewater_Local" sheetId="7" r:id="rId7"/>
    <sheet name="State_National" sheetId="8" r:id="rId8"/>
    <sheet name="Flu_Age_Vax" sheetId="9" r:id="rId9"/>
    <sheet name="Highlights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1" i="9" l="1"/>
  <c r="G11" i="9" s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G4" i="9" s="1"/>
  <c r="F3" i="9"/>
  <c r="G3" i="9" s="1"/>
  <c r="F2" i="9"/>
  <c r="G2" i="9" s="1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J111" i="4"/>
  <c r="G111" i="4"/>
  <c r="D111" i="4"/>
  <c r="J110" i="4"/>
  <c r="G110" i="4"/>
  <c r="D110" i="4"/>
  <c r="J109" i="4"/>
  <c r="G109" i="4"/>
  <c r="D109" i="4"/>
  <c r="J108" i="4"/>
  <c r="G108" i="4"/>
  <c r="D108" i="4"/>
  <c r="J107" i="4"/>
  <c r="G107" i="4"/>
  <c r="D107" i="4"/>
  <c r="J106" i="4"/>
  <c r="G106" i="4"/>
  <c r="D106" i="4"/>
  <c r="J105" i="4"/>
  <c r="G105" i="4"/>
  <c r="D105" i="4"/>
  <c r="J104" i="4"/>
  <c r="G104" i="4"/>
  <c r="D104" i="4"/>
  <c r="J103" i="4"/>
  <c r="G103" i="4"/>
  <c r="D103" i="4"/>
  <c r="J102" i="4"/>
  <c r="G102" i="4"/>
  <c r="D102" i="4"/>
  <c r="J101" i="4"/>
  <c r="G101" i="4"/>
  <c r="D101" i="4"/>
  <c r="J100" i="4"/>
  <c r="G100" i="4"/>
  <c r="D100" i="4"/>
  <c r="J99" i="4"/>
  <c r="G99" i="4"/>
  <c r="D99" i="4"/>
  <c r="J98" i="4"/>
  <c r="G98" i="4"/>
  <c r="D98" i="4"/>
  <c r="J97" i="4"/>
  <c r="G97" i="4"/>
  <c r="D97" i="4"/>
  <c r="J96" i="4"/>
  <c r="G96" i="4"/>
  <c r="D96" i="4"/>
  <c r="J95" i="4"/>
  <c r="G95" i="4"/>
  <c r="D95" i="4"/>
  <c r="J94" i="4"/>
  <c r="G94" i="4"/>
  <c r="D94" i="4"/>
  <c r="J93" i="4"/>
  <c r="G93" i="4"/>
  <c r="D93" i="4"/>
  <c r="J92" i="4"/>
  <c r="G92" i="4"/>
  <c r="D92" i="4"/>
  <c r="J91" i="4"/>
  <c r="G91" i="4"/>
  <c r="D91" i="4"/>
  <c r="J90" i="4"/>
  <c r="G90" i="4"/>
  <c r="D90" i="4"/>
  <c r="J89" i="4"/>
  <c r="G89" i="4"/>
  <c r="D89" i="4"/>
  <c r="J88" i="4"/>
  <c r="G88" i="4"/>
  <c r="D88" i="4"/>
  <c r="J87" i="4"/>
  <c r="G87" i="4"/>
  <c r="D87" i="4"/>
  <c r="J86" i="4"/>
  <c r="G86" i="4"/>
  <c r="D86" i="4"/>
  <c r="J85" i="4"/>
  <c r="G85" i="4"/>
  <c r="D85" i="4"/>
  <c r="J84" i="4"/>
  <c r="G84" i="4"/>
  <c r="D84" i="4"/>
  <c r="J83" i="4"/>
  <c r="G83" i="4"/>
  <c r="D83" i="4"/>
  <c r="J82" i="4"/>
  <c r="G82" i="4"/>
  <c r="D82" i="4"/>
  <c r="J81" i="4"/>
  <c r="G81" i="4"/>
  <c r="D81" i="4"/>
  <c r="J80" i="4"/>
  <c r="G80" i="4"/>
  <c r="D80" i="4"/>
  <c r="J79" i="4"/>
  <c r="G79" i="4"/>
  <c r="D79" i="4"/>
  <c r="J78" i="4"/>
  <c r="G78" i="4"/>
  <c r="D78" i="4"/>
  <c r="J77" i="4"/>
  <c r="G77" i="4"/>
  <c r="D77" i="4"/>
  <c r="J76" i="4"/>
  <c r="G76" i="4"/>
  <c r="D76" i="4"/>
  <c r="J75" i="4"/>
  <c r="G75" i="4"/>
  <c r="D75" i="4"/>
  <c r="J74" i="4"/>
  <c r="G74" i="4"/>
  <c r="D74" i="4"/>
  <c r="J73" i="4"/>
  <c r="G73" i="4"/>
  <c r="D73" i="4"/>
  <c r="J72" i="4"/>
  <c r="G72" i="4"/>
  <c r="D72" i="4"/>
  <c r="J71" i="4"/>
  <c r="G71" i="4"/>
  <c r="D71" i="4"/>
  <c r="J70" i="4"/>
  <c r="G70" i="4"/>
  <c r="D70" i="4"/>
  <c r="J69" i="4"/>
  <c r="G69" i="4"/>
  <c r="D69" i="4"/>
  <c r="J68" i="4"/>
  <c r="G68" i="4"/>
  <c r="D68" i="4"/>
  <c r="J67" i="4"/>
  <c r="G67" i="4"/>
  <c r="D67" i="4"/>
  <c r="J66" i="4"/>
  <c r="G66" i="4"/>
  <c r="D66" i="4"/>
  <c r="J65" i="4"/>
  <c r="G65" i="4"/>
  <c r="D65" i="4"/>
  <c r="J64" i="4"/>
  <c r="G64" i="4"/>
  <c r="D64" i="4"/>
  <c r="J63" i="4"/>
  <c r="G63" i="4"/>
  <c r="D63" i="4"/>
  <c r="J62" i="4"/>
  <c r="G62" i="4"/>
  <c r="D62" i="4"/>
  <c r="J61" i="4"/>
  <c r="G61" i="4"/>
  <c r="D61" i="4"/>
  <c r="J60" i="4"/>
  <c r="G60" i="4"/>
  <c r="D60" i="4"/>
  <c r="J59" i="4"/>
  <c r="G59" i="4"/>
  <c r="D59" i="4"/>
  <c r="J58" i="4"/>
  <c r="G58" i="4"/>
  <c r="D58" i="4"/>
  <c r="J57" i="4"/>
  <c r="G57" i="4"/>
  <c r="D57" i="4"/>
  <c r="J56" i="4"/>
  <c r="G56" i="4"/>
  <c r="D56" i="4"/>
  <c r="J55" i="4"/>
  <c r="G55" i="4"/>
  <c r="D55" i="4"/>
  <c r="J54" i="4"/>
  <c r="G54" i="4"/>
  <c r="D54" i="4"/>
  <c r="J53" i="4"/>
  <c r="G53" i="4"/>
  <c r="D53" i="4"/>
  <c r="J52" i="4"/>
  <c r="G52" i="4"/>
  <c r="D52" i="4"/>
  <c r="J51" i="4"/>
  <c r="G51" i="4"/>
  <c r="D51" i="4"/>
  <c r="J50" i="4"/>
  <c r="G50" i="4"/>
  <c r="D50" i="4"/>
  <c r="J49" i="4"/>
  <c r="G49" i="4"/>
  <c r="D49" i="4"/>
  <c r="J48" i="4"/>
  <c r="G48" i="4"/>
  <c r="D48" i="4"/>
  <c r="J47" i="4"/>
  <c r="G47" i="4"/>
  <c r="D47" i="4"/>
  <c r="J46" i="4"/>
  <c r="G46" i="4"/>
  <c r="D46" i="4"/>
  <c r="J45" i="4"/>
  <c r="G45" i="4"/>
  <c r="D45" i="4"/>
  <c r="J44" i="4"/>
  <c r="G44" i="4"/>
  <c r="D44" i="4"/>
  <c r="J43" i="4"/>
  <c r="G43" i="4"/>
  <c r="D43" i="4"/>
  <c r="J42" i="4"/>
  <c r="G42" i="4"/>
  <c r="D42" i="4"/>
  <c r="J41" i="4"/>
  <c r="G41" i="4"/>
  <c r="D41" i="4"/>
  <c r="J40" i="4"/>
  <c r="G40" i="4"/>
  <c r="D40" i="4"/>
  <c r="J39" i="4"/>
  <c r="G39" i="4"/>
  <c r="D39" i="4"/>
  <c r="J38" i="4"/>
  <c r="G38" i="4"/>
  <c r="D38" i="4"/>
  <c r="J37" i="4"/>
  <c r="G37" i="4"/>
  <c r="D37" i="4"/>
  <c r="J36" i="4"/>
  <c r="G36" i="4"/>
  <c r="D36" i="4"/>
  <c r="J35" i="4"/>
  <c r="G35" i="4"/>
  <c r="D35" i="4"/>
  <c r="J34" i="4"/>
  <c r="G34" i="4"/>
  <c r="D34" i="4"/>
  <c r="J33" i="4"/>
  <c r="G33" i="4"/>
  <c r="D33" i="4"/>
  <c r="J32" i="4"/>
  <c r="G32" i="4"/>
  <c r="D32" i="4"/>
  <c r="J31" i="4"/>
  <c r="G31" i="4"/>
  <c r="D31" i="4"/>
  <c r="J30" i="4"/>
  <c r="G30" i="4"/>
  <c r="D30" i="4"/>
  <c r="J29" i="4"/>
  <c r="G29" i="4"/>
  <c r="D29" i="4"/>
  <c r="J28" i="4"/>
  <c r="G28" i="4"/>
  <c r="D28" i="4"/>
  <c r="J27" i="4"/>
  <c r="G27" i="4"/>
  <c r="D27" i="4"/>
  <c r="J26" i="4"/>
  <c r="G26" i="4"/>
  <c r="D26" i="4"/>
  <c r="J25" i="4"/>
  <c r="G25" i="4"/>
  <c r="D25" i="4"/>
  <c r="J24" i="4"/>
  <c r="G24" i="4"/>
  <c r="D24" i="4"/>
  <c r="J23" i="4"/>
  <c r="G23" i="4"/>
  <c r="D23" i="4"/>
  <c r="J22" i="4"/>
  <c r="G22" i="4"/>
  <c r="D22" i="4"/>
  <c r="J21" i="4"/>
  <c r="G21" i="4"/>
  <c r="D21" i="4"/>
  <c r="J20" i="4"/>
  <c r="G20" i="4"/>
  <c r="D20" i="4"/>
  <c r="J19" i="4"/>
  <c r="G19" i="4"/>
  <c r="D19" i="4"/>
  <c r="J18" i="4"/>
  <c r="G18" i="4"/>
  <c r="D18" i="4"/>
  <c r="J17" i="4"/>
  <c r="G17" i="4"/>
  <c r="D17" i="4"/>
  <c r="J16" i="4"/>
  <c r="G16" i="4"/>
  <c r="D16" i="4"/>
  <c r="J15" i="4"/>
  <c r="G15" i="4"/>
  <c r="D15" i="4"/>
  <c r="J14" i="4"/>
  <c r="G14" i="4"/>
  <c r="D14" i="4"/>
  <c r="J13" i="4"/>
  <c r="G13" i="4"/>
  <c r="D13" i="4"/>
  <c r="J12" i="4"/>
  <c r="G12" i="4"/>
  <c r="D12" i="4"/>
  <c r="J11" i="4"/>
  <c r="G11" i="4"/>
  <c r="D11" i="4"/>
  <c r="J10" i="4"/>
  <c r="G10" i="4"/>
  <c r="D10" i="4"/>
  <c r="J9" i="4"/>
  <c r="G9" i="4"/>
  <c r="D9" i="4"/>
  <c r="J8" i="4"/>
  <c r="G8" i="4"/>
  <c r="D8" i="4"/>
  <c r="J7" i="4"/>
  <c r="G7" i="4"/>
  <c r="D7" i="4"/>
  <c r="J6" i="4"/>
  <c r="G6" i="4"/>
  <c r="D6" i="4"/>
  <c r="J5" i="4"/>
  <c r="G5" i="4"/>
  <c r="D5" i="4"/>
  <c r="J4" i="4"/>
  <c r="G4" i="4"/>
  <c r="D4" i="4"/>
  <c r="J3" i="4"/>
  <c r="G3" i="4"/>
  <c r="D3" i="4"/>
  <c r="J2" i="4"/>
  <c r="G2" i="4"/>
  <c r="D2" i="4"/>
  <c r="R237" i="3"/>
  <c r="M237" i="3"/>
  <c r="P237" i="3" s="1"/>
  <c r="R236" i="3"/>
  <c r="P236" i="3"/>
  <c r="M236" i="3"/>
  <c r="T235" i="3"/>
  <c r="U235" i="3" s="1"/>
  <c r="R235" i="3"/>
  <c r="S235" i="3" s="1"/>
  <c r="P235" i="3"/>
  <c r="M235" i="3"/>
  <c r="S234" i="3"/>
  <c r="T234" i="3" s="1"/>
  <c r="U234" i="3" s="1"/>
  <c r="R234" i="3"/>
  <c r="M234" i="3"/>
  <c r="P234" i="3" s="1"/>
  <c r="R233" i="3"/>
  <c r="P233" i="3"/>
  <c r="M233" i="3"/>
  <c r="T232" i="3"/>
  <c r="U232" i="3" s="1"/>
  <c r="S232" i="3"/>
  <c r="R232" i="3"/>
  <c r="M232" i="3"/>
  <c r="P232" i="3" s="1"/>
  <c r="R231" i="3"/>
  <c r="M231" i="3"/>
  <c r="P231" i="3" s="1"/>
  <c r="T230" i="3"/>
  <c r="U230" i="3" s="1"/>
  <c r="R230" i="3"/>
  <c r="S230" i="3" s="1"/>
  <c r="M230" i="3"/>
  <c r="P230" i="3" s="1"/>
  <c r="T229" i="3"/>
  <c r="U229" i="3" s="1"/>
  <c r="S229" i="3"/>
  <c r="R229" i="3"/>
  <c r="M229" i="3"/>
  <c r="P229" i="3" s="1"/>
  <c r="T228" i="3"/>
  <c r="U228" i="3" s="1"/>
  <c r="R228" i="3"/>
  <c r="S228" i="3" s="1"/>
  <c r="M228" i="3"/>
  <c r="P228" i="3" s="1"/>
  <c r="S227" i="3"/>
  <c r="T227" i="3" s="1"/>
  <c r="U227" i="3" s="1"/>
  <c r="R227" i="3"/>
  <c r="M227" i="3"/>
  <c r="P227" i="3" s="1"/>
  <c r="S226" i="3"/>
  <c r="R226" i="3"/>
  <c r="M226" i="3"/>
  <c r="P226" i="3" s="1"/>
  <c r="R225" i="3"/>
  <c r="M225" i="3"/>
  <c r="P225" i="3" s="1"/>
  <c r="T224" i="3"/>
  <c r="U224" i="3" s="1"/>
  <c r="S224" i="3"/>
  <c r="R224" i="3"/>
  <c r="P224" i="3"/>
  <c r="M224" i="3"/>
  <c r="S223" i="3"/>
  <c r="T223" i="3" s="1"/>
  <c r="U223" i="3" s="1"/>
  <c r="R223" i="3"/>
  <c r="P223" i="3"/>
  <c r="M223" i="3"/>
  <c r="R222" i="3"/>
  <c r="S222" i="3" s="1"/>
  <c r="M222" i="3"/>
  <c r="P222" i="3" s="1"/>
  <c r="S221" i="3"/>
  <c r="T221" i="3" s="1"/>
  <c r="U221" i="3" s="1"/>
  <c r="R221" i="3"/>
  <c r="M221" i="3"/>
  <c r="P221" i="3" s="1"/>
  <c r="U220" i="3"/>
  <c r="T220" i="3"/>
  <c r="R220" i="3"/>
  <c r="S220" i="3" s="1"/>
  <c r="M220" i="3"/>
  <c r="P220" i="3" s="1"/>
  <c r="S219" i="3"/>
  <c r="T219" i="3" s="1"/>
  <c r="U219" i="3" s="1"/>
  <c r="R219" i="3"/>
  <c r="M219" i="3"/>
  <c r="P219" i="3" s="1"/>
  <c r="T218" i="3"/>
  <c r="U218" i="3" s="1"/>
  <c r="R218" i="3"/>
  <c r="S218" i="3" s="1"/>
  <c r="M218" i="3"/>
  <c r="P218" i="3" s="1"/>
  <c r="U217" i="3"/>
  <c r="T217" i="3"/>
  <c r="R217" i="3"/>
  <c r="S217" i="3" s="1"/>
  <c r="M217" i="3"/>
  <c r="P217" i="3" s="1"/>
  <c r="R216" i="3"/>
  <c r="S216" i="3" s="1"/>
  <c r="P216" i="3"/>
  <c r="M216" i="3"/>
  <c r="R215" i="3"/>
  <c r="M215" i="3"/>
  <c r="P215" i="3" s="1"/>
  <c r="T214" i="3"/>
  <c r="U214" i="3" s="1"/>
  <c r="R214" i="3"/>
  <c r="S214" i="3" s="1"/>
  <c r="M214" i="3"/>
  <c r="P214" i="3" s="1"/>
  <c r="S213" i="3"/>
  <c r="R213" i="3"/>
  <c r="M213" i="3"/>
  <c r="P213" i="3" s="1"/>
  <c r="R212" i="3"/>
  <c r="S212" i="3" s="1"/>
  <c r="M212" i="3"/>
  <c r="P212" i="3" s="1"/>
  <c r="S211" i="3"/>
  <c r="R211" i="3"/>
  <c r="M211" i="3"/>
  <c r="P211" i="3" s="1"/>
  <c r="T210" i="3"/>
  <c r="U210" i="3" s="1"/>
  <c r="R210" i="3"/>
  <c r="S210" i="3" s="1"/>
  <c r="P210" i="3"/>
  <c r="M210" i="3"/>
  <c r="S209" i="3"/>
  <c r="T209" i="3" s="1"/>
  <c r="U209" i="3" s="1"/>
  <c r="R209" i="3"/>
  <c r="M209" i="3"/>
  <c r="P209" i="3" s="1"/>
  <c r="R208" i="3"/>
  <c r="S208" i="3" s="1"/>
  <c r="M208" i="3"/>
  <c r="P208" i="3" s="1"/>
  <c r="S207" i="3"/>
  <c r="T207" i="3" s="1"/>
  <c r="U207" i="3" s="1"/>
  <c r="R207" i="3"/>
  <c r="M207" i="3"/>
  <c r="P207" i="3" s="1"/>
  <c r="T206" i="3"/>
  <c r="U206" i="3" s="1"/>
  <c r="S206" i="3"/>
  <c r="R206" i="3"/>
  <c r="P206" i="3"/>
  <c r="M206" i="3"/>
  <c r="T205" i="3"/>
  <c r="U205" i="3" s="1"/>
  <c r="R205" i="3"/>
  <c r="S205" i="3" s="1"/>
  <c r="M205" i="3"/>
  <c r="P205" i="3" s="1"/>
  <c r="T204" i="3"/>
  <c r="U204" i="3" s="1"/>
  <c r="R204" i="3"/>
  <c r="S204" i="3" s="1"/>
  <c r="M204" i="3"/>
  <c r="P204" i="3" s="1"/>
  <c r="R203" i="3"/>
  <c r="S203" i="3" s="1"/>
  <c r="T203" i="3" s="1"/>
  <c r="U203" i="3" s="1"/>
  <c r="M203" i="3"/>
  <c r="P203" i="3" s="1"/>
  <c r="T202" i="3"/>
  <c r="U202" i="3" s="1"/>
  <c r="S202" i="3"/>
  <c r="R202" i="3"/>
  <c r="M202" i="3"/>
  <c r="R201" i="3"/>
  <c r="M201" i="3"/>
  <c r="S200" i="3"/>
  <c r="T200" i="3" s="1"/>
  <c r="U200" i="3" s="1"/>
  <c r="R200" i="3"/>
  <c r="M200" i="3"/>
  <c r="P200" i="3" s="1"/>
  <c r="R199" i="3"/>
  <c r="M199" i="3"/>
  <c r="P199" i="3" s="1"/>
  <c r="R198" i="3"/>
  <c r="P198" i="3"/>
  <c r="M198" i="3"/>
  <c r="R197" i="3"/>
  <c r="M197" i="3"/>
  <c r="P197" i="3" s="1"/>
  <c r="R196" i="3"/>
  <c r="S196" i="3" s="1"/>
  <c r="M196" i="3"/>
  <c r="P196" i="3" s="1"/>
  <c r="R195" i="3"/>
  <c r="M195" i="3"/>
  <c r="P195" i="3" s="1"/>
  <c r="R194" i="3"/>
  <c r="M194" i="3"/>
  <c r="P194" i="3" s="1"/>
  <c r="R193" i="3"/>
  <c r="M193" i="3"/>
  <c r="P193" i="3" s="1"/>
  <c r="T192" i="3"/>
  <c r="U192" i="3" s="1"/>
  <c r="S192" i="3"/>
  <c r="R192" i="3"/>
  <c r="M192" i="3"/>
  <c r="P192" i="3" s="1"/>
  <c r="R191" i="3"/>
  <c r="M191" i="3"/>
  <c r="P191" i="3" s="1"/>
  <c r="T190" i="3"/>
  <c r="U190" i="3" s="1"/>
  <c r="R190" i="3"/>
  <c r="S190" i="3" s="1"/>
  <c r="P190" i="3"/>
  <c r="M190" i="3"/>
  <c r="R189" i="3"/>
  <c r="S189" i="3" s="1"/>
  <c r="P189" i="3"/>
  <c r="M189" i="3"/>
  <c r="R188" i="3"/>
  <c r="M188" i="3"/>
  <c r="P188" i="3" s="1"/>
  <c r="S187" i="3"/>
  <c r="T187" i="3" s="1"/>
  <c r="U187" i="3" s="1"/>
  <c r="R187" i="3"/>
  <c r="M187" i="3"/>
  <c r="P187" i="3" s="1"/>
  <c r="R186" i="3"/>
  <c r="M186" i="3"/>
  <c r="P186" i="3" s="1"/>
  <c r="R185" i="3"/>
  <c r="P185" i="3"/>
  <c r="M185" i="3"/>
  <c r="T184" i="3"/>
  <c r="U184" i="3" s="1"/>
  <c r="R184" i="3"/>
  <c r="S184" i="3" s="1"/>
  <c r="M184" i="3"/>
  <c r="P184" i="3" s="1"/>
  <c r="T183" i="3"/>
  <c r="U183" i="3" s="1"/>
  <c r="S183" i="3"/>
  <c r="R183" i="3"/>
  <c r="M183" i="3"/>
  <c r="P183" i="3" s="1"/>
  <c r="S182" i="3"/>
  <c r="T182" i="3" s="1"/>
  <c r="U182" i="3" s="1"/>
  <c r="R182" i="3"/>
  <c r="M182" i="3"/>
  <c r="P182" i="3" s="1"/>
  <c r="S181" i="3"/>
  <c r="T181" i="3" s="1"/>
  <c r="U181" i="3" s="1"/>
  <c r="R181" i="3"/>
  <c r="M181" i="3"/>
  <c r="P181" i="3" s="1"/>
  <c r="T180" i="3"/>
  <c r="U180" i="3" s="1"/>
  <c r="R180" i="3"/>
  <c r="S180" i="3" s="1"/>
  <c r="P180" i="3"/>
  <c r="M180" i="3"/>
  <c r="T179" i="3"/>
  <c r="U179" i="3" s="1"/>
  <c r="R179" i="3"/>
  <c r="S179" i="3" s="1"/>
  <c r="M179" i="3"/>
  <c r="P179" i="3" s="1"/>
  <c r="R178" i="3"/>
  <c r="S178" i="3" s="1"/>
  <c r="T178" i="3" s="1"/>
  <c r="U178" i="3" s="1"/>
  <c r="P178" i="3"/>
  <c r="M178" i="3"/>
  <c r="R177" i="3"/>
  <c r="S177" i="3" s="1"/>
  <c r="T177" i="3" s="1"/>
  <c r="U177" i="3" s="1"/>
  <c r="P177" i="3"/>
  <c r="M177" i="3"/>
  <c r="R176" i="3"/>
  <c r="S176" i="3" s="1"/>
  <c r="T176" i="3" s="1"/>
  <c r="U176" i="3" s="1"/>
  <c r="M176" i="3"/>
  <c r="P176" i="3" s="1"/>
  <c r="R175" i="3"/>
  <c r="P175" i="3"/>
  <c r="M175" i="3"/>
  <c r="R174" i="3"/>
  <c r="M174" i="3"/>
  <c r="P174" i="3" s="1"/>
  <c r="S173" i="3"/>
  <c r="R173" i="3"/>
  <c r="M173" i="3"/>
  <c r="P173" i="3" s="1"/>
  <c r="R172" i="3"/>
  <c r="S172" i="3" s="1"/>
  <c r="T172" i="3" s="1"/>
  <c r="U172" i="3" s="1"/>
  <c r="P172" i="3"/>
  <c r="M172" i="3"/>
  <c r="S171" i="3"/>
  <c r="T171" i="3" s="1"/>
  <c r="U171" i="3" s="1"/>
  <c r="R171" i="3"/>
  <c r="M171" i="3"/>
  <c r="P171" i="3" s="1"/>
  <c r="R170" i="3"/>
  <c r="S170" i="3" s="1"/>
  <c r="T170" i="3" s="1"/>
  <c r="U170" i="3" s="1"/>
  <c r="M170" i="3"/>
  <c r="P170" i="3" s="1"/>
  <c r="R169" i="3"/>
  <c r="S169" i="3" s="1"/>
  <c r="M169" i="3"/>
  <c r="P169" i="3" s="1"/>
  <c r="U168" i="3"/>
  <c r="T168" i="3"/>
  <c r="S168" i="3"/>
  <c r="R168" i="3"/>
  <c r="P168" i="3"/>
  <c r="M168" i="3"/>
  <c r="S167" i="3"/>
  <c r="T167" i="3" s="1"/>
  <c r="U167" i="3" s="1"/>
  <c r="R167" i="3"/>
  <c r="P167" i="3"/>
  <c r="M167" i="3"/>
  <c r="R166" i="3"/>
  <c r="S166" i="3" s="1"/>
  <c r="M166" i="3"/>
  <c r="P166" i="3" s="1"/>
  <c r="S165" i="3"/>
  <c r="T165" i="3" s="1"/>
  <c r="U165" i="3" s="1"/>
  <c r="R165" i="3"/>
  <c r="M165" i="3"/>
  <c r="P165" i="3" s="1"/>
  <c r="R164" i="3"/>
  <c r="M164" i="3"/>
  <c r="P164" i="3" s="1"/>
  <c r="S163" i="3"/>
  <c r="T163" i="3" s="1"/>
  <c r="U163" i="3" s="1"/>
  <c r="R163" i="3"/>
  <c r="P163" i="3"/>
  <c r="M163" i="3"/>
  <c r="S162" i="3"/>
  <c r="R162" i="3"/>
  <c r="M162" i="3"/>
  <c r="P162" i="3" s="1"/>
  <c r="S161" i="3"/>
  <c r="T161" i="3" s="1"/>
  <c r="U161" i="3" s="1"/>
  <c r="R161" i="3"/>
  <c r="M161" i="3"/>
  <c r="P161" i="3" s="1"/>
  <c r="T160" i="3"/>
  <c r="U160" i="3" s="1"/>
  <c r="S160" i="3"/>
  <c r="R160" i="3"/>
  <c r="M160" i="3"/>
  <c r="P160" i="3" s="1"/>
  <c r="R159" i="3"/>
  <c r="S159" i="3" s="1"/>
  <c r="P159" i="3"/>
  <c r="M159" i="3"/>
  <c r="T158" i="3"/>
  <c r="U158" i="3" s="1"/>
  <c r="R158" i="3"/>
  <c r="S158" i="3" s="1"/>
  <c r="P158" i="3"/>
  <c r="M158" i="3"/>
  <c r="S157" i="3"/>
  <c r="T157" i="3" s="1"/>
  <c r="U157" i="3" s="1"/>
  <c r="R157" i="3"/>
  <c r="M157" i="3"/>
  <c r="P157" i="3" s="1"/>
  <c r="T156" i="3"/>
  <c r="U156" i="3" s="1"/>
  <c r="R156" i="3"/>
  <c r="S156" i="3" s="1"/>
  <c r="M156" i="3"/>
  <c r="P156" i="3" s="1"/>
  <c r="S155" i="3"/>
  <c r="T155" i="3" s="1"/>
  <c r="U155" i="3" s="1"/>
  <c r="R155" i="3"/>
  <c r="M155" i="3"/>
  <c r="P155" i="3" s="1"/>
  <c r="R154" i="3"/>
  <c r="S154" i="3" s="1"/>
  <c r="P154" i="3"/>
  <c r="M154" i="3"/>
  <c r="T153" i="3"/>
  <c r="U153" i="3" s="1"/>
  <c r="R153" i="3"/>
  <c r="S153" i="3" s="1"/>
  <c r="P153" i="3"/>
  <c r="M153" i="3"/>
  <c r="R152" i="3"/>
  <c r="S152" i="3" s="1"/>
  <c r="T152" i="3" s="1"/>
  <c r="U152" i="3" s="1"/>
  <c r="P152" i="3"/>
  <c r="M152" i="3"/>
  <c r="S151" i="3"/>
  <c r="R151" i="3"/>
  <c r="M151" i="3"/>
  <c r="P151" i="3" s="1"/>
  <c r="U150" i="3"/>
  <c r="T150" i="3"/>
  <c r="R150" i="3"/>
  <c r="S150" i="3" s="1"/>
  <c r="P150" i="3"/>
  <c r="M150" i="3"/>
  <c r="R149" i="3"/>
  <c r="M149" i="3"/>
  <c r="P149" i="3" s="1"/>
  <c r="T148" i="3"/>
  <c r="U148" i="3" s="1"/>
  <c r="R148" i="3"/>
  <c r="S148" i="3" s="1"/>
  <c r="P148" i="3"/>
  <c r="M148" i="3"/>
  <c r="T147" i="3"/>
  <c r="U147" i="3" s="1"/>
  <c r="R147" i="3"/>
  <c r="S147" i="3" s="1"/>
  <c r="P147" i="3"/>
  <c r="M147" i="3"/>
  <c r="S146" i="3"/>
  <c r="T146" i="3" s="1"/>
  <c r="U146" i="3" s="1"/>
  <c r="R146" i="3"/>
  <c r="M146" i="3"/>
  <c r="P146" i="3" s="1"/>
  <c r="S145" i="3"/>
  <c r="T145" i="3" s="1"/>
  <c r="U145" i="3" s="1"/>
  <c r="R145" i="3"/>
  <c r="M145" i="3"/>
  <c r="P145" i="3" s="1"/>
  <c r="R144" i="3"/>
  <c r="P144" i="3"/>
  <c r="M144" i="3"/>
  <c r="T143" i="3"/>
  <c r="U143" i="3" s="1"/>
  <c r="S143" i="3"/>
  <c r="R143" i="3"/>
  <c r="P143" i="3"/>
  <c r="M143" i="3"/>
  <c r="S142" i="3"/>
  <c r="T142" i="3" s="1"/>
  <c r="U142" i="3" s="1"/>
  <c r="R142" i="3"/>
  <c r="M142" i="3"/>
  <c r="P142" i="3" s="1"/>
  <c r="S141" i="3"/>
  <c r="T141" i="3" s="1"/>
  <c r="U141" i="3" s="1"/>
  <c r="R141" i="3"/>
  <c r="M141" i="3"/>
  <c r="P141" i="3" s="1"/>
  <c r="S140" i="3"/>
  <c r="R140" i="3"/>
  <c r="P140" i="3"/>
  <c r="M140" i="3"/>
  <c r="S139" i="3"/>
  <c r="R139" i="3"/>
  <c r="M139" i="3"/>
  <c r="P139" i="3" s="1"/>
  <c r="S138" i="3"/>
  <c r="T138" i="3" s="1"/>
  <c r="U138" i="3" s="1"/>
  <c r="R138" i="3"/>
  <c r="P138" i="3"/>
  <c r="M138" i="3"/>
  <c r="R137" i="3"/>
  <c r="M137" i="3"/>
  <c r="P137" i="3" s="1"/>
  <c r="T136" i="3"/>
  <c r="U136" i="3" s="1"/>
  <c r="S136" i="3"/>
  <c r="R136" i="3"/>
  <c r="P136" i="3"/>
  <c r="M136" i="3"/>
  <c r="R135" i="3"/>
  <c r="S135" i="3" s="1"/>
  <c r="M135" i="3"/>
  <c r="P135" i="3" s="1"/>
  <c r="R134" i="3"/>
  <c r="M134" i="3"/>
  <c r="P134" i="3" s="1"/>
  <c r="S133" i="3"/>
  <c r="R133" i="3"/>
  <c r="P133" i="3"/>
  <c r="M133" i="3"/>
  <c r="T132" i="3"/>
  <c r="U132" i="3" s="1"/>
  <c r="R132" i="3"/>
  <c r="S132" i="3" s="1"/>
  <c r="P132" i="3"/>
  <c r="M132" i="3"/>
  <c r="S131" i="3"/>
  <c r="T131" i="3" s="1"/>
  <c r="U131" i="3" s="1"/>
  <c r="R131" i="3"/>
  <c r="M131" i="3"/>
  <c r="P131" i="3" s="1"/>
  <c r="S130" i="3"/>
  <c r="T130" i="3" s="1"/>
  <c r="U130" i="3" s="1"/>
  <c r="R130" i="3"/>
  <c r="M130" i="3"/>
  <c r="P130" i="3" s="1"/>
  <c r="R129" i="3"/>
  <c r="P129" i="3"/>
  <c r="M129" i="3"/>
  <c r="T128" i="3"/>
  <c r="U128" i="3" s="1"/>
  <c r="R128" i="3"/>
  <c r="S128" i="3" s="1"/>
  <c r="P128" i="3"/>
  <c r="M128" i="3"/>
  <c r="S127" i="3"/>
  <c r="T127" i="3" s="1"/>
  <c r="U127" i="3" s="1"/>
  <c r="R127" i="3"/>
  <c r="M127" i="3"/>
  <c r="P127" i="3" s="1"/>
  <c r="T126" i="3"/>
  <c r="U126" i="3" s="1"/>
  <c r="S126" i="3"/>
  <c r="R126" i="3"/>
  <c r="M126" i="3"/>
  <c r="P126" i="3" s="1"/>
  <c r="R125" i="3"/>
  <c r="M125" i="3"/>
  <c r="P125" i="3" s="1"/>
  <c r="S124" i="3"/>
  <c r="R124" i="3"/>
  <c r="M124" i="3"/>
  <c r="P124" i="3" s="1"/>
  <c r="S123" i="3"/>
  <c r="T123" i="3" s="1"/>
  <c r="U123" i="3" s="1"/>
  <c r="R123" i="3"/>
  <c r="P123" i="3"/>
  <c r="M123" i="3"/>
  <c r="R122" i="3"/>
  <c r="M122" i="3"/>
  <c r="P122" i="3" s="1"/>
  <c r="S121" i="3"/>
  <c r="T121" i="3" s="1"/>
  <c r="U121" i="3" s="1"/>
  <c r="R121" i="3"/>
  <c r="P121" i="3"/>
  <c r="M121" i="3"/>
  <c r="T120" i="3"/>
  <c r="U120" i="3" s="1"/>
  <c r="R120" i="3"/>
  <c r="S120" i="3" s="1"/>
  <c r="P120" i="3"/>
  <c r="M120" i="3"/>
  <c r="R119" i="3"/>
  <c r="M119" i="3"/>
  <c r="P119" i="3" s="1"/>
  <c r="R118" i="3"/>
  <c r="P118" i="3"/>
  <c r="M118" i="3"/>
  <c r="T117" i="3"/>
  <c r="U117" i="3" s="1"/>
  <c r="R117" i="3"/>
  <c r="S117" i="3" s="1"/>
  <c r="P117" i="3"/>
  <c r="M117" i="3"/>
  <c r="T116" i="3"/>
  <c r="U116" i="3" s="1"/>
  <c r="S116" i="3"/>
  <c r="R116" i="3"/>
  <c r="P116" i="3"/>
  <c r="M116" i="3"/>
  <c r="S115" i="3"/>
  <c r="T115" i="3" s="1"/>
  <c r="U115" i="3" s="1"/>
  <c r="R115" i="3"/>
  <c r="M115" i="3"/>
  <c r="P115" i="3" s="1"/>
  <c r="R114" i="3"/>
  <c r="P114" i="3"/>
  <c r="M114" i="3"/>
  <c r="T113" i="3"/>
  <c r="U113" i="3" s="1"/>
  <c r="R113" i="3"/>
  <c r="S113" i="3" s="1"/>
  <c r="P113" i="3"/>
  <c r="M113" i="3"/>
  <c r="S112" i="3"/>
  <c r="T112" i="3" s="1"/>
  <c r="U112" i="3" s="1"/>
  <c r="R112" i="3"/>
  <c r="M112" i="3"/>
  <c r="P112" i="3" s="1"/>
  <c r="S111" i="3"/>
  <c r="T111" i="3" s="1"/>
  <c r="U111" i="3" s="1"/>
  <c r="R111" i="3"/>
  <c r="P111" i="3"/>
  <c r="M111" i="3"/>
  <c r="R110" i="3"/>
  <c r="M110" i="3"/>
  <c r="P110" i="3" s="1"/>
  <c r="R109" i="3"/>
  <c r="P109" i="3"/>
  <c r="M109" i="3"/>
  <c r="S108" i="3"/>
  <c r="T108" i="3" s="1"/>
  <c r="U108" i="3" s="1"/>
  <c r="R108" i="3"/>
  <c r="P108" i="3"/>
  <c r="M108" i="3"/>
  <c r="R107" i="3"/>
  <c r="M107" i="3"/>
  <c r="P107" i="3" s="1"/>
  <c r="U106" i="3"/>
  <c r="S106" i="3"/>
  <c r="T106" i="3" s="1"/>
  <c r="R106" i="3"/>
  <c r="M106" i="3"/>
  <c r="P106" i="3" s="1"/>
  <c r="R105" i="3"/>
  <c r="S105" i="3" s="1"/>
  <c r="T105" i="3" s="1"/>
  <c r="U105" i="3" s="1"/>
  <c r="P105" i="3"/>
  <c r="M105" i="3"/>
  <c r="S104" i="3"/>
  <c r="R104" i="3"/>
  <c r="M104" i="3"/>
  <c r="P104" i="3" s="1"/>
  <c r="R103" i="3"/>
  <c r="P103" i="3"/>
  <c r="M103" i="3"/>
  <c r="R102" i="3"/>
  <c r="P102" i="3"/>
  <c r="M102" i="3"/>
  <c r="T101" i="3"/>
  <c r="U101" i="3" s="1"/>
  <c r="S101" i="3"/>
  <c r="R101" i="3"/>
  <c r="P101" i="3"/>
  <c r="M101" i="3"/>
  <c r="S100" i="3"/>
  <c r="T100" i="3" s="1"/>
  <c r="U100" i="3" s="1"/>
  <c r="R100" i="3"/>
  <c r="M100" i="3"/>
  <c r="P100" i="3" s="1"/>
  <c r="R99" i="3"/>
  <c r="M99" i="3"/>
  <c r="P99" i="3" s="1"/>
  <c r="T98" i="3"/>
  <c r="U98" i="3" s="1"/>
  <c r="R98" i="3"/>
  <c r="S98" i="3" s="1"/>
  <c r="P98" i="3"/>
  <c r="M98" i="3"/>
  <c r="T97" i="3"/>
  <c r="U97" i="3" s="1"/>
  <c r="R97" i="3"/>
  <c r="S97" i="3" s="1"/>
  <c r="P97" i="3"/>
  <c r="M97" i="3"/>
  <c r="T96" i="3"/>
  <c r="U96" i="3" s="1"/>
  <c r="S96" i="3"/>
  <c r="R96" i="3"/>
  <c r="M96" i="3"/>
  <c r="P96" i="3" s="1"/>
  <c r="R95" i="3"/>
  <c r="S95" i="3" s="1"/>
  <c r="M95" i="3"/>
  <c r="P95" i="3" s="1"/>
  <c r="R94" i="3"/>
  <c r="P94" i="3"/>
  <c r="M94" i="3"/>
  <c r="S93" i="3"/>
  <c r="T93" i="3" s="1"/>
  <c r="U93" i="3" s="1"/>
  <c r="R93" i="3"/>
  <c r="P93" i="3"/>
  <c r="M93" i="3"/>
  <c r="S92" i="3"/>
  <c r="T92" i="3" s="1"/>
  <c r="U92" i="3" s="1"/>
  <c r="R92" i="3"/>
  <c r="P92" i="3"/>
  <c r="M92" i="3"/>
  <c r="U91" i="3"/>
  <c r="S91" i="3"/>
  <c r="T91" i="3" s="1"/>
  <c r="R91" i="3"/>
  <c r="M91" i="3"/>
  <c r="P91" i="3" s="1"/>
  <c r="R90" i="3"/>
  <c r="S90" i="3" s="1"/>
  <c r="P90" i="3"/>
  <c r="M90" i="3"/>
  <c r="S89" i="3"/>
  <c r="R89" i="3"/>
  <c r="M89" i="3"/>
  <c r="P89" i="3" s="1"/>
  <c r="S88" i="3"/>
  <c r="R88" i="3"/>
  <c r="T88" i="3" s="1"/>
  <c r="U88" i="3" s="1"/>
  <c r="P88" i="3"/>
  <c r="M88" i="3"/>
  <c r="R87" i="3"/>
  <c r="M87" i="3"/>
  <c r="P87" i="3" s="1"/>
  <c r="T86" i="3"/>
  <c r="U86" i="3" s="1"/>
  <c r="S86" i="3"/>
  <c r="R86" i="3"/>
  <c r="P86" i="3"/>
  <c r="M86" i="3"/>
  <c r="T85" i="3"/>
  <c r="U85" i="3" s="1"/>
  <c r="R85" i="3"/>
  <c r="S85" i="3" s="1"/>
  <c r="M85" i="3"/>
  <c r="P85" i="3" s="1"/>
  <c r="R84" i="3"/>
  <c r="S84" i="3" s="1"/>
  <c r="M84" i="3"/>
  <c r="P84" i="3" s="1"/>
  <c r="R83" i="3"/>
  <c r="S83" i="3" s="1"/>
  <c r="P83" i="3"/>
  <c r="M83" i="3"/>
  <c r="T82" i="3"/>
  <c r="U82" i="3" s="1"/>
  <c r="R82" i="3"/>
  <c r="S82" i="3" s="1"/>
  <c r="P82" i="3"/>
  <c r="M82" i="3"/>
  <c r="S81" i="3"/>
  <c r="T81" i="3" s="1"/>
  <c r="U81" i="3" s="1"/>
  <c r="R81" i="3"/>
  <c r="P81" i="3"/>
  <c r="M81" i="3"/>
  <c r="S80" i="3"/>
  <c r="T80" i="3" s="1"/>
  <c r="U80" i="3" s="1"/>
  <c r="R80" i="3"/>
  <c r="M80" i="3"/>
  <c r="P80" i="3" s="1"/>
  <c r="R79" i="3"/>
  <c r="P79" i="3"/>
  <c r="M79" i="3"/>
  <c r="T78" i="3"/>
  <c r="U78" i="3" s="1"/>
  <c r="R78" i="3"/>
  <c r="S78" i="3" s="1"/>
  <c r="P78" i="3"/>
  <c r="M78" i="3"/>
  <c r="S77" i="3"/>
  <c r="T77" i="3" s="1"/>
  <c r="U77" i="3" s="1"/>
  <c r="R77" i="3"/>
  <c r="M77" i="3"/>
  <c r="P77" i="3" s="1"/>
  <c r="T76" i="3"/>
  <c r="U76" i="3" s="1"/>
  <c r="S76" i="3"/>
  <c r="R76" i="3"/>
  <c r="M76" i="3"/>
  <c r="P76" i="3" s="1"/>
  <c r="R75" i="3"/>
  <c r="M75" i="3"/>
  <c r="P75" i="3" s="1"/>
  <c r="S74" i="3"/>
  <c r="R74" i="3"/>
  <c r="P74" i="3"/>
  <c r="M74" i="3"/>
  <c r="S73" i="3"/>
  <c r="T73" i="3" s="1"/>
  <c r="U73" i="3" s="1"/>
  <c r="R73" i="3"/>
  <c r="P73" i="3"/>
  <c r="M73" i="3"/>
  <c r="R72" i="3"/>
  <c r="M72" i="3"/>
  <c r="P72" i="3" s="1"/>
  <c r="U71" i="3"/>
  <c r="S71" i="3"/>
  <c r="T71" i="3" s="1"/>
  <c r="R71" i="3"/>
  <c r="P71" i="3"/>
  <c r="M71" i="3"/>
  <c r="R70" i="3"/>
  <c r="S70" i="3" s="1"/>
  <c r="T70" i="3" s="1"/>
  <c r="U70" i="3" s="1"/>
  <c r="P70" i="3"/>
  <c r="M70" i="3"/>
  <c r="S69" i="3"/>
  <c r="R69" i="3"/>
  <c r="M69" i="3"/>
  <c r="P69" i="3" s="1"/>
  <c r="R68" i="3"/>
  <c r="P68" i="3"/>
  <c r="M68" i="3"/>
  <c r="R67" i="3"/>
  <c r="S67" i="3" s="1"/>
  <c r="P67" i="3"/>
  <c r="M67" i="3"/>
  <c r="T66" i="3"/>
  <c r="U66" i="3" s="1"/>
  <c r="S66" i="3"/>
  <c r="R66" i="3"/>
  <c r="M66" i="3"/>
  <c r="P66" i="3" s="1"/>
  <c r="T65" i="3"/>
  <c r="U65" i="3" s="1"/>
  <c r="S65" i="3"/>
  <c r="R65" i="3"/>
  <c r="M65" i="3"/>
  <c r="P65" i="3" s="1"/>
  <c r="S64" i="3"/>
  <c r="R64" i="3"/>
  <c r="P64" i="3"/>
  <c r="M64" i="3"/>
  <c r="R63" i="3"/>
  <c r="S63" i="3" s="1"/>
  <c r="T63" i="3" s="1"/>
  <c r="U63" i="3" s="1"/>
  <c r="P63" i="3"/>
  <c r="M63" i="3"/>
  <c r="U62" i="3"/>
  <c r="T62" i="3"/>
  <c r="S62" i="3"/>
  <c r="R62" i="3"/>
  <c r="M62" i="3"/>
  <c r="P62" i="3" s="1"/>
  <c r="S61" i="3"/>
  <c r="T61" i="3" s="1"/>
  <c r="U61" i="3" s="1"/>
  <c r="R61" i="3"/>
  <c r="M61" i="3"/>
  <c r="P61" i="3" s="1"/>
  <c r="S60" i="3"/>
  <c r="R60" i="3"/>
  <c r="M60" i="3"/>
  <c r="P60" i="3" s="1"/>
  <c r="R59" i="3"/>
  <c r="M59" i="3"/>
  <c r="P59" i="3" s="1"/>
  <c r="S58" i="3"/>
  <c r="T58" i="3" s="1"/>
  <c r="U58" i="3" s="1"/>
  <c r="R58" i="3"/>
  <c r="P58" i="3"/>
  <c r="M58" i="3"/>
  <c r="R57" i="3"/>
  <c r="M57" i="3"/>
  <c r="P57" i="3" s="1"/>
  <c r="U56" i="3"/>
  <c r="S56" i="3"/>
  <c r="T56" i="3" s="1"/>
  <c r="R56" i="3"/>
  <c r="M56" i="3"/>
  <c r="P56" i="3" s="1"/>
  <c r="R55" i="3"/>
  <c r="S55" i="3" s="1"/>
  <c r="P55" i="3"/>
  <c r="M55" i="3"/>
  <c r="S54" i="3"/>
  <c r="R54" i="3"/>
  <c r="M54" i="3"/>
  <c r="P54" i="3" s="1"/>
  <c r="S53" i="3"/>
  <c r="R53" i="3"/>
  <c r="P53" i="3"/>
  <c r="M53" i="3"/>
  <c r="R52" i="3"/>
  <c r="S52" i="3" s="1"/>
  <c r="P52" i="3"/>
  <c r="M52" i="3"/>
  <c r="U51" i="3"/>
  <c r="T51" i="3"/>
  <c r="S51" i="3"/>
  <c r="R51" i="3"/>
  <c r="P51" i="3"/>
  <c r="M51" i="3"/>
  <c r="T50" i="3"/>
  <c r="U50" i="3" s="1"/>
  <c r="S50" i="3"/>
  <c r="R50" i="3"/>
  <c r="P50" i="3"/>
  <c r="M50" i="3"/>
  <c r="R49" i="3"/>
  <c r="M49" i="3"/>
  <c r="P49" i="3" s="1"/>
  <c r="R48" i="3"/>
  <c r="S48" i="3" s="1"/>
  <c r="P48" i="3"/>
  <c r="M48" i="3"/>
  <c r="T47" i="3"/>
  <c r="U47" i="3" s="1"/>
  <c r="R47" i="3"/>
  <c r="S47" i="3" s="1"/>
  <c r="P47" i="3"/>
  <c r="M47" i="3"/>
  <c r="T46" i="3"/>
  <c r="U46" i="3" s="1"/>
  <c r="S46" i="3"/>
  <c r="R46" i="3"/>
  <c r="M46" i="3"/>
  <c r="P46" i="3" s="1"/>
  <c r="R45" i="3"/>
  <c r="M45" i="3"/>
  <c r="P45" i="3" s="1"/>
  <c r="R44" i="3"/>
  <c r="P44" i="3"/>
  <c r="M44" i="3"/>
  <c r="S43" i="3"/>
  <c r="T43" i="3" s="1"/>
  <c r="U43" i="3" s="1"/>
  <c r="R43" i="3"/>
  <c r="P43" i="3"/>
  <c r="M43" i="3"/>
  <c r="S42" i="3"/>
  <c r="T42" i="3" s="1"/>
  <c r="U42" i="3" s="1"/>
  <c r="R42" i="3"/>
  <c r="P42" i="3"/>
  <c r="M42" i="3"/>
  <c r="S41" i="3"/>
  <c r="T41" i="3" s="1"/>
  <c r="U41" i="3" s="1"/>
  <c r="R41" i="3"/>
  <c r="M41" i="3"/>
  <c r="P41" i="3" s="1"/>
  <c r="S40" i="3"/>
  <c r="R40" i="3"/>
  <c r="P40" i="3"/>
  <c r="M40" i="3"/>
  <c r="S39" i="3"/>
  <c r="R39" i="3"/>
  <c r="M39" i="3"/>
  <c r="P39" i="3" s="1"/>
  <c r="S38" i="3"/>
  <c r="T38" i="3" s="1"/>
  <c r="U38" i="3" s="1"/>
  <c r="R38" i="3"/>
  <c r="P38" i="3"/>
  <c r="M38" i="3"/>
  <c r="R37" i="3"/>
  <c r="M37" i="3"/>
  <c r="P37" i="3" s="1"/>
  <c r="T36" i="3"/>
  <c r="U36" i="3" s="1"/>
  <c r="S36" i="3"/>
  <c r="R36" i="3"/>
  <c r="P36" i="3"/>
  <c r="M36" i="3"/>
  <c r="R35" i="3"/>
  <c r="S35" i="3" s="1"/>
  <c r="M35" i="3"/>
  <c r="P35" i="3" s="1"/>
  <c r="R34" i="3"/>
  <c r="M34" i="3"/>
  <c r="P34" i="3" s="1"/>
  <c r="S33" i="3"/>
  <c r="R33" i="3"/>
  <c r="P33" i="3"/>
  <c r="M33" i="3"/>
  <c r="R32" i="3"/>
  <c r="S32" i="3" s="1"/>
  <c r="T32" i="3" s="1"/>
  <c r="U32" i="3" s="1"/>
  <c r="P32" i="3"/>
  <c r="M32" i="3"/>
  <c r="U31" i="3"/>
  <c r="T31" i="3"/>
  <c r="S31" i="3"/>
  <c r="R31" i="3"/>
  <c r="P31" i="3"/>
  <c r="M31" i="3"/>
  <c r="S30" i="3"/>
  <c r="T30" i="3" s="1"/>
  <c r="U30" i="3" s="1"/>
  <c r="R30" i="3"/>
  <c r="P30" i="3"/>
  <c r="M30" i="3"/>
  <c r="R29" i="3"/>
  <c r="P29" i="3"/>
  <c r="M29" i="3"/>
  <c r="T28" i="3"/>
  <c r="U28" i="3" s="1"/>
  <c r="R28" i="3"/>
  <c r="S28" i="3" s="1"/>
  <c r="P28" i="3"/>
  <c r="M28" i="3"/>
  <c r="S27" i="3"/>
  <c r="T27" i="3" s="1"/>
  <c r="U27" i="3" s="1"/>
  <c r="R27" i="3"/>
  <c r="M27" i="3"/>
  <c r="P27" i="3" s="1"/>
  <c r="T26" i="3"/>
  <c r="U26" i="3" s="1"/>
  <c r="S26" i="3"/>
  <c r="R26" i="3"/>
  <c r="M26" i="3"/>
  <c r="P26" i="3" s="1"/>
  <c r="R25" i="3"/>
  <c r="M25" i="3"/>
  <c r="P25" i="3" s="1"/>
  <c r="S24" i="3"/>
  <c r="R24" i="3"/>
  <c r="P24" i="3"/>
  <c r="M24" i="3"/>
  <c r="S23" i="3"/>
  <c r="T23" i="3" s="1"/>
  <c r="U23" i="3" s="1"/>
  <c r="R23" i="3"/>
  <c r="P23" i="3"/>
  <c r="M23" i="3"/>
  <c r="R22" i="3"/>
  <c r="S22" i="3" s="1"/>
  <c r="M22" i="3"/>
  <c r="P22" i="3" s="1"/>
  <c r="S21" i="3"/>
  <c r="T21" i="3" s="1"/>
  <c r="U21" i="3" s="1"/>
  <c r="R21" i="3"/>
  <c r="P21" i="3"/>
  <c r="M21" i="3"/>
  <c r="R20" i="3"/>
  <c r="S20" i="3" s="1"/>
  <c r="T20" i="3" s="1"/>
  <c r="U20" i="3" s="1"/>
  <c r="P20" i="3"/>
  <c r="M20" i="3"/>
  <c r="R19" i="3"/>
  <c r="S19" i="3" s="1"/>
  <c r="M19" i="3"/>
  <c r="P19" i="3" s="1"/>
  <c r="R18" i="3"/>
  <c r="P18" i="3"/>
  <c r="M18" i="3"/>
  <c r="U17" i="3"/>
  <c r="T17" i="3"/>
  <c r="R17" i="3"/>
  <c r="S17" i="3" s="1"/>
  <c r="P17" i="3"/>
  <c r="M17" i="3"/>
  <c r="T16" i="3"/>
  <c r="U16" i="3" s="1"/>
  <c r="S16" i="3"/>
  <c r="R16" i="3"/>
  <c r="M16" i="3"/>
  <c r="P16" i="3" s="1"/>
  <c r="T15" i="3"/>
  <c r="U15" i="3" s="1"/>
  <c r="S15" i="3"/>
  <c r="R15" i="3"/>
  <c r="M15" i="3"/>
  <c r="P15" i="3" s="1"/>
  <c r="S14" i="3"/>
  <c r="R14" i="3"/>
  <c r="P14" i="3"/>
  <c r="M14" i="3"/>
  <c r="R13" i="3"/>
  <c r="S13" i="3" s="1"/>
  <c r="T13" i="3" s="1"/>
  <c r="U13" i="3" s="1"/>
  <c r="P13" i="3"/>
  <c r="M13" i="3"/>
  <c r="T12" i="3"/>
  <c r="U12" i="3" s="1"/>
  <c r="S12" i="3"/>
  <c r="R12" i="3"/>
  <c r="M12" i="3"/>
  <c r="P12" i="3" s="1"/>
  <c r="S11" i="3"/>
  <c r="T11" i="3" s="1"/>
  <c r="U11" i="3" s="1"/>
  <c r="R11" i="3"/>
  <c r="P11" i="3"/>
  <c r="M11" i="3"/>
  <c r="S10" i="3"/>
  <c r="R10" i="3"/>
  <c r="M10" i="3"/>
  <c r="P10" i="3" s="1"/>
  <c r="R9" i="3"/>
  <c r="M9" i="3"/>
  <c r="P9" i="3" s="1"/>
  <c r="T8" i="3"/>
  <c r="U8" i="3" s="1"/>
  <c r="S8" i="3"/>
  <c r="R8" i="3"/>
  <c r="P8" i="3"/>
  <c r="M8" i="3"/>
  <c r="R7" i="3"/>
  <c r="S7" i="3" s="1"/>
  <c r="M7" i="3"/>
  <c r="P7" i="3" s="1"/>
  <c r="U6" i="3"/>
  <c r="S6" i="3"/>
  <c r="T6" i="3" s="1"/>
  <c r="R6" i="3"/>
  <c r="M6" i="3"/>
  <c r="P6" i="3" s="1"/>
  <c r="R5" i="3"/>
  <c r="S5" i="3" s="1"/>
  <c r="P5" i="3"/>
  <c r="M5" i="3"/>
  <c r="S4" i="3"/>
  <c r="R4" i="3"/>
  <c r="P4" i="3"/>
  <c r="M4" i="3"/>
  <c r="S3" i="3"/>
  <c r="R3" i="3"/>
  <c r="P3" i="3"/>
  <c r="M3" i="3"/>
  <c r="R2" i="3"/>
  <c r="P2" i="3"/>
  <c r="M2" i="3"/>
  <c r="S45" i="3" l="1"/>
  <c r="T45" i="3" s="1"/>
  <c r="U45" i="3" s="1"/>
  <c r="T67" i="3"/>
  <c r="U67" i="3" s="1"/>
  <c r="S79" i="3"/>
  <c r="T79" i="3" s="1"/>
  <c r="U79" i="3" s="1"/>
  <c r="S215" i="3"/>
  <c r="T215" i="3"/>
  <c r="U215" i="3" s="1"/>
  <c r="S25" i="3"/>
  <c r="T25" i="3" s="1"/>
  <c r="U25" i="3" s="1"/>
  <c r="T102" i="3"/>
  <c r="U102" i="3" s="1"/>
  <c r="T119" i="3"/>
  <c r="U119" i="3" s="1"/>
  <c r="T7" i="3"/>
  <c r="U7" i="3" s="1"/>
  <c r="T48" i="3"/>
  <c r="U48" i="3" s="1"/>
  <c r="S59" i="3"/>
  <c r="T59" i="3" s="1"/>
  <c r="U59" i="3" s="1"/>
  <c r="T95" i="3"/>
  <c r="U95" i="3" s="1"/>
  <c r="S102" i="3"/>
  <c r="S114" i="3"/>
  <c r="T114" i="3" s="1"/>
  <c r="U114" i="3" s="1"/>
  <c r="S119" i="3"/>
  <c r="S233" i="3"/>
  <c r="T233" i="3" s="1"/>
  <c r="U233" i="3" s="1"/>
  <c r="T3" i="3"/>
  <c r="U3" i="3" s="1"/>
  <c r="T5" i="3"/>
  <c r="U5" i="3" s="1"/>
  <c r="T10" i="3"/>
  <c r="U10" i="3" s="1"/>
  <c r="T14" i="3"/>
  <c r="U14" i="3" s="1"/>
  <c r="S37" i="3"/>
  <c r="T37" i="3" s="1"/>
  <c r="U37" i="3" s="1"/>
  <c r="S57" i="3"/>
  <c r="T57" i="3" s="1"/>
  <c r="U57" i="3" s="1"/>
  <c r="S68" i="3"/>
  <c r="T68" i="3" s="1"/>
  <c r="U68" i="3" s="1"/>
  <c r="S75" i="3"/>
  <c r="T75" i="3" s="1"/>
  <c r="U75" i="3" s="1"/>
  <c r="S107" i="3"/>
  <c r="T107" i="3" s="1"/>
  <c r="U107" i="3" s="1"/>
  <c r="S137" i="3"/>
  <c r="T137" i="3" s="1"/>
  <c r="U137" i="3" s="1"/>
  <c r="S149" i="3"/>
  <c r="T149" i="3"/>
  <c r="U149" i="3" s="1"/>
  <c r="T216" i="3"/>
  <c r="U216" i="3" s="1"/>
  <c r="S231" i="3"/>
  <c r="T231" i="3" s="1"/>
  <c r="U231" i="3" s="1"/>
  <c r="T175" i="3"/>
  <c r="U175" i="3" s="1"/>
  <c r="S175" i="3"/>
  <c r="T34" i="3"/>
  <c r="U34" i="3" s="1"/>
  <c r="T191" i="3"/>
  <c r="U191" i="3" s="1"/>
  <c r="S191" i="3"/>
  <c r="S194" i="3"/>
  <c r="T194" i="3" s="1"/>
  <c r="U194" i="3" s="1"/>
  <c r="S225" i="3"/>
  <c r="T225" i="3"/>
  <c r="U225" i="3" s="1"/>
  <c r="S2" i="3"/>
  <c r="T2" i="3" s="1"/>
  <c r="U2" i="3" s="1"/>
  <c r="S72" i="3"/>
  <c r="T72" i="3" s="1"/>
  <c r="U72" i="3" s="1"/>
  <c r="S134" i="3"/>
  <c r="T134" i="3" s="1"/>
  <c r="U134" i="3" s="1"/>
  <c r="S197" i="3"/>
  <c r="T197" i="3" s="1"/>
  <c r="U197" i="3" s="1"/>
  <c r="T35" i="3"/>
  <c r="U35" i="3" s="1"/>
  <c r="T49" i="3"/>
  <c r="U49" i="3" s="1"/>
  <c r="S49" i="3"/>
  <c r="T53" i="3"/>
  <c r="U53" i="3" s="1"/>
  <c r="T55" i="3"/>
  <c r="U55" i="3" s="1"/>
  <c r="T60" i="3"/>
  <c r="U60" i="3" s="1"/>
  <c r="T64" i="3"/>
  <c r="U64" i="3" s="1"/>
  <c r="T87" i="3"/>
  <c r="U87" i="3" s="1"/>
  <c r="S87" i="3"/>
  <c r="T125" i="3"/>
  <c r="U125" i="3" s="1"/>
  <c r="S125" i="3"/>
  <c r="T135" i="3"/>
  <c r="U135" i="3" s="1"/>
  <c r="T140" i="3"/>
  <c r="U140" i="3" s="1"/>
  <c r="S174" i="3"/>
  <c r="T174" i="3"/>
  <c r="U174" i="3" s="1"/>
  <c r="S185" i="3"/>
  <c r="T185" i="3" s="1"/>
  <c r="U185" i="3" s="1"/>
  <c r="S198" i="3"/>
  <c r="T198" i="3" s="1"/>
  <c r="U198" i="3" s="1"/>
  <c r="T83" i="3"/>
  <c r="U83" i="3" s="1"/>
  <c r="T52" i="3"/>
  <c r="U52" i="3" s="1"/>
  <c r="T18" i="3"/>
  <c r="U18" i="3" s="1"/>
  <c r="S18" i="3"/>
  <c r="S34" i="3"/>
  <c r="S193" i="3"/>
  <c r="T193" i="3" s="1"/>
  <c r="U193" i="3" s="1"/>
  <c r="T84" i="3"/>
  <c r="U84" i="3" s="1"/>
  <c r="S110" i="3"/>
  <c r="T110" i="3" s="1"/>
  <c r="U110" i="3" s="1"/>
  <c r="T33" i="3"/>
  <c r="U33" i="3" s="1"/>
  <c r="T40" i="3"/>
  <c r="U40" i="3" s="1"/>
  <c r="T69" i="3"/>
  <c r="U69" i="3" s="1"/>
  <c r="S103" i="3"/>
  <c r="T103" i="3" s="1"/>
  <c r="U103" i="3" s="1"/>
  <c r="S195" i="3"/>
  <c r="T195" i="3" s="1"/>
  <c r="U195" i="3" s="1"/>
  <c r="T211" i="3"/>
  <c r="U211" i="3" s="1"/>
  <c r="S237" i="3"/>
  <c r="T237" i="3" s="1"/>
  <c r="U237" i="3" s="1"/>
  <c r="T22" i="3"/>
  <c r="U22" i="3" s="1"/>
  <c r="T90" i="3"/>
  <c r="U90" i="3" s="1"/>
  <c r="T118" i="3"/>
  <c r="U118" i="3" s="1"/>
  <c r="S118" i="3"/>
  <c r="T196" i="3"/>
  <c r="U196" i="3" s="1"/>
  <c r="S9" i="3"/>
  <c r="T9" i="3" s="1"/>
  <c r="U9" i="3" s="1"/>
  <c r="T109" i="3"/>
  <c r="U109" i="3" s="1"/>
  <c r="S109" i="3"/>
  <c r="T19" i="3"/>
  <c r="U19" i="3" s="1"/>
  <c r="T122" i="3"/>
  <c r="U122" i="3" s="1"/>
  <c r="S122" i="3"/>
  <c r="T29" i="3"/>
  <c r="U29" i="3" s="1"/>
  <c r="S29" i="3"/>
  <c r="T99" i="3"/>
  <c r="U99" i="3" s="1"/>
  <c r="S99" i="3"/>
  <c r="T133" i="3"/>
  <c r="U133" i="3" s="1"/>
  <c r="S199" i="3"/>
  <c r="T199" i="3" s="1"/>
  <c r="U199" i="3" s="1"/>
  <c r="T4" i="3"/>
  <c r="U4" i="3" s="1"/>
  <c r="T54" i="3"/>
  <c r="U54" i="3" s="1"/>
  <c r="T104" i="3"/>
  <c r="U104" i="3" s="1"/>
  <c r="T151" i="3"/>
  <c r="U151" i="3" s="1"/>
  <c r="T173" i="3"/>
  <c r="U173" i="3" s="1"/>
  <c r="T188" i="3"/>
  <c r="U188" i="3" s="1"/>
  <c r="S188" i="3"/>
  <c r="T236" i="3"/>
  <c r="U236" i="3" s="1"/>
  <c r="T144" i="3"/>
  <c r="U144" i="3" s="1"/>
  <c r="T159" i="3"/>
  <c r="U159" i="3" s="1"/>
  <c r="T169" i="3"/>
  <c r="U169" i="3" s="1"/>
  <c r="S201" i="3"/>
  <c r="T201" i="3" s="1"/>
  <c r="U201" i="3" s="1"/>
  <c r="S236" i="3"/>
  <c r="T39" i="3"/>
  <c r="U39" i="3" s="1"/>
  <c r="S44" i="3"/>
  <c r="T44" i="3" s="1"/>
  <c r="U44" i="3" s="1"/>
  <c r="T89" i="3"/>
  <c r="U89" i="3" s="1"/>
  <c r="S94" i="3"/>
  <c r="T94" i="3" s="1"/>
  <c r="U94" i="3" s="1"/>
  <c r="T139" i="3"/>
  <c r="U139" i="3" s="1"/>
  <c r="S144" i="3"/>
  <c r="S186" i="3"/>
  <c r="T186" i="3" s="1"/>
  <c r="U186" i="3" s="1"/>
  <c r="T212" i="3"/>
  <c r="U212" i="3" s="1"/>
  <c r="T24" i="3"/>
  <c r="U24" i="3" s="1"/>
  <c r="T74" i="3"/>
  <c r="U74" i="3" s="1"/>
  <c r="T124" i="3"/>
  <c r="U124" i="3" s="1"/>
  <c r="S129" i="3"/>
  <c r="T129" i="3" s="1"/>
  <c r="U129" i="3" s="1"/>
  <c r="T154" i="3"/>
  <c r="U154" i="3" s="1"/>
  <c r="T162" i="3"/>
  <c r="U162" i="3" s="1"/>
  <c r="S164" i="3"/>
  <c r="T164" i="3"/>
  <c r="U164" i="3" s="1"/>
  <c r="T166" i="3"/>
  <c r="U166" i="3" s="1"/>
  <c r="T189" i="3"/>
  <c r="U189" i="3" s="1"/>
  <c r="T208" i="3"/>
  <c r="U208" i="3" s="1"/>
  <c r="T213" i="3"/>
  <c r="U213" i="3" s="1"/>
  <c r="T222" i="3"/>
  <c r="U222" i="3" s="1"/>
  <c r="T226" i="3"/>
  <c r="U226" i="3" s="1"/>
  <c r="C170" i="5" l="1"/>
  <c r="E168" i="5"/>
  <c r="C165" i="5"/>
  <c r="E163" i="5"/>
  <c r="C160" i="5"/>
  <c r="E158" i="5"/>
  <c r="C155" i="5"/>
  <c r="E153" i="5"/>
  <c r="C150" i="5"/>
  <c r="E148" i="5"/>
  <c r="C145" i="5"/>
  <c r="E143" i="5"/>
  <c r="C140" i="5"/>
  <c r="E138" i="5"/>
  <c r="C135" i="5"/>
  <c r="E133" i="5"/>
  <c r="C130" i="5"/>
  <c r="E128" i="5"/>
  <c r="C125" i="5"/>
  <c r="E123" i="5"/>
  <c r="C120" i="5"/>
  <c r="E114" i="5"/>
  <c r="C111" i="5"/>
  <c r="E109" i="5"/>
  <c r="C106" i="5"/>
  <c r="E104" i="5"/>
  <c r="C101" i="5"/>
  <c r="E99" i="5"/>
  <c r="C96" i="5"/>
  <c r="E94" i="5"/>
  <c r="C91" i="5"/>
  <c r="E89" i="5"/>
  <c r="C86" i="5"/>
  <c r="E84" i="5"/>
  <c r="C81" i="5"/>
  <c r="E79" i="5"/>
  <c r="C76" i="5"/>
  <c r="E74" i="5"/>
  <c r="C71" i="5"/>
  <c r="E69" i="5"/>
  <c r="C66" i="5"/>
  <c r="E64" i="5"/>
  <c r="C57" i="5"/>
  <c r="E55" i="5"/>
  <c r="C52" i="5"/>
  <c r="E50" i="5"/>
  <c r="C47" i="5"/>
  <c r="E45" i="5"/>
  <c r="C42" i="5"/>
  <c r="E40" i="5"/>
  <c r="F171" i="5"/>
  <c r="B170" i="5"/>
  <c r="D168" i="5"/>
  <c r="F166" i="5"/>
  <c r="B165" i="5"/>
  <c r="D163" i="5"/>
  <c r="F161" i="5"/>
  <c r="B160" i="5"/>
  <c r="D158" i="5"/>
  <c r="F156" i="5"/>
  <c r="B155" i="5"/>
  <c r="D153" i="5"/>
  <c r="F151" i="5"/>
  <c r="B150" i="5"/>
  <c r="D148" i="5"/>
  <c r="F146" i="5"/>
  <c r="B145" i="5"/>
  <c r="D143" i="5"/>
  <c r="F141" i="5"/>
  <c r="B140" i="5"/>
  <c r="D138" i="5"/>
  <c r="F136" i="5"/>
  <c r="B135" i="5"/>
  <c r="D133" i="5"/>
  <c r="F131" i="5"/>
  <c r="B130" i="5"/>
  <c r="D128" i="5"/>
  <c r="E171" i="5"/>
  <c r="C168" i="5"/>
  <c r="E166" i="5"/>
  <c r="C163" i="5"/>
  <c r="E161" i="5"/>
  <c r="C158" i="5"/>
  <c r="E156" i="5"/>
  <c r="C153" i="5"/>
  <c r="E151" i="5"/>
  <c r="C148" i="5"/>
  <c r="E146" i="5"/>
  <c r="C143" i="5"/>
  <c r="E141" i="5"/>
  <c r="C138" i="5"/>
  <c r="E136" i="5"/>
  <c r="C133" i="5"/>
  <c r="E131" i="5"/>
  <c r="C128" i="5"/>
  <c r="E126" i="5"/>
  <c r="C123" i="5"/>
  <c r="E121" i="5"/>
  <c r="C114" i="5"/>
  <c r="E112" i="5"/>
  <c r="C109" i="5"/>
  <c r="E107" i="5"/>
  <c r="C104" i="5"/>
  <c r="E102" i="5"/>
  <c r="C99" i="5"/>
  <c r="E97" i="5"/>
  <c r="C94" i="5"/>
  <c r="E92" i="5"/>
  <c r="C89" i="5"/>
  <c r="E87" i="5"/>
  <c r="C84" i="5"/>
  <c r="E82" i="5"/>
  <c r="C79" i="5"/>
  <c r="D171" i="5"/>
  <c r="F169" i="5"/>
  <c r="B168" i="5"/>
  <c r="D166" i="5"/>
  <c r="F164" i="5"/>
  <c r="B163" i="5"/>
  <c r="D161" i="5"/>
  <c r="F159" i="5"/>
  <c r="B158" i="5"/>
  <c r="D156" i="5"/>
  <c r="F154" i="5"/>
  <c r="B153" i="5"/>
  <c r="D151" i="5"/>
  <c r="F149" i="5"/>
  <c r="B148" i="5"/>
  <c r="D146" i="5"/>
  <c r="F144" i="5"/>
  <c r="B143" i="5"/>
  <c r="D141" i="5"/>
  <c r="F139" i="5"/>
  <c r="B138" i="5"/>
  <c r="D136" i="5"/>
  <c r="F134" i="5"/>
  <c r="B133" i="5"/>
  <c r="D131" i="5"/>
  <c r="F129" i="5"/>
  <c r="B128" i="5"/>
  <c r="D126" i="5"/>
  <c r="F124" i="5"/>
  <c r="B123" i="5"/>
  <c r="D121" i="5"/>
  <c r="B114" i="5"/>
  <c r="D112" i="5"/>
  <c r="F110" i="5"/>
  <c r="B109" i="5"/>
  <c r="D107" i="5"/>
  <c r="F105" i="5"/>
  <c r="B104" i="5"/>
  <c r="D102" i="5"/>
  <c r="C171" i="5"/>
  <c r="E169" i="5"/>
  <c r="C166" i="5"/>
  <c r="E164" i="5"/>
  <c r="C161" i="5"/>
  <c r="E159" i="5"/>
  <c r="C156" i="5"/>
  <c r="E154" i="5"/>
  <c r="C151" i="5"/>
  <c r="E149" i="5"/>
  <c r="C146" i="5"/>
  <c r="E144" i="5"/>
  <c r="C141" i="5"/>
  <c r="E139" i="5"/>
  <c r="C136" i="5"/>
  <c r="E134" i="5"/>
  <c r="C131" i="5"/>
  <c r="E129" i="5"/>
  <c r="C126" i="5"/>
  <c r="E124" i="5"/>
  <c r="C121" i="5"/>
  <c r="E119" i="5"/>
  <c r="C112" i="5"/>
  <c r="E110" i="5"/>
  <c r="C107" i="5"/>
  <c r="E105" i="5"/>
  <c r="C102" i="5"/>
  <c r="E100" i="5"/>
  <c r="C97" i="5"/>
  <c r="E95" i="5"/>
  <c r="C92" i="5"/>
  <c r="E90" i="5"/>
  <c r="B171" i="5"/>
  <c r="D169" i="5"/>
  <c r="F167" i="5"/>
  <c r="B166" i="5"/>
  <c r="D164" i="5"/>
  <c r="F162" i="5"/>
  <c r="B161" i="5"/>
  <c r="D159" i="5"/>
  <c r="F157" i="5"/>
  <c r="B156" i="5"/>
  <c r="D154" i="5"/>
  <c r="F152" i="5"/>
  <c r="B151" i="5"/>
  <c r="D149" i="5"/>
  <c r="F147" i="5"/>
  <c r="B146" i="5"/>
  <c r="D144" i="5"/>
  <c r="F142" i="5"/>
  <c r="B141" i="5"/>
  <c r="D139" i="5"/>
  <c r="F137" i="5"/>
  <c r="B136" i="5"/>
  <c r="D134" i="5"/>
  <c r="F132" i="5"/>
  <c r="B131" i="5"/>
  <c r="D129" i="5"/>
  <c r="F127" i="5"/>
  <c r="B126" i="5"/>
  <c r="D124" i="5"/>
  <c r="F122" i="5"/>
  <c r="C169" i="5"/>
  <c r="E167" i="5"/>
  <c r="C164" i="5"/>
  <c r="E162" i="5"/>
  <c r="C159" i="5"/>
  <c r="E157" i="5"/>
  <c r="C154" i="5"/>
  <c r="E152" i="5"/>
  <c r="C149" i="5"/>
  <c r="E147" i="5"/>
  <c r="C144" i="5"/>
  <c r="E142" i="5"/>
  <c r="C139" i="5"/>
  <c r="E137" i="5"/>
  <c r="C134" i="5"/>
  <c r="E132" i="5"/>
  <c r="C129" i="5"/>
  <c r="E127" i="5"/>
  <c r="C124" i="5"/>
  <c r="E122" i="5"/>
  <c r="C119" i="5"/>
  <c r="E113" i="5"/>
  <c r="C110" i="5"/>
  <c r="E108" i="5"/>
  <c r="C105" i="5"/>
  <c r="E103" i="5"/>
  <c r="C100" i="5"/>
  <c r="E98" i="5"/>
  <c r="C95" i="5"/>
  <c r="E93" i="5"/>
  <c r="C90" i="5"/>
  <c r="E88" i="5"/>
  <c r="C85" i="5"/>
  <c r="E83" i="5"/>
  <c r="C80" i="5"/>
  <c r="E78" i="5"/>
  <c r="C75" i="5"/>
  <c r="E73" i="5"/>
  <c r="C70" i="5"/>
  <c r="E68" i="5"/>
  <c r="C65" i="5"/>
  <c r="E63" i="5"/>
  <c r="C56" i="5"/>
  <c r="F170" i="5"/>
  <c r="B169" i="5"/>
  <c r="D167" i="5"/>
  <c r="F165" i="5"/>
  <c r="B164" i="5"/>
  <c r="D162" i="5"/>
  <c r="F160" i="5"/>
  <c r="B159" i="5"/>
  <c r="D157" i="5"/>
  <c r="F155" i="5"/>
  <c r="B154" i="5"/>
  <c r="D152" i="5"/>
  <c r="F150" i="5"/>
  <c r="B149" i="5"/>
  <c r="D147" i="5"/>
  <c r="F145" i="5"/>
  <c r="B144" i="5"/>
  <c r="D142" i="5"/>
  <c r="F140" i="5"/>
  <c r="B139" i="5"/>
  <c r="D137" i="5"/>
  <c r="F135" i="5"/>
  <c r="B134" i="5"/>
  <c r="D132" i="5"/>
  <c r="F130" i="5"/>
  <c r="B129" i="5"/>
  <c r="D127" i="5"/>
  <c r="F125" i="5"/>
  <c r="B124" i="5"/>
  <c r="D122" i="5"/>
  <c r="F120" i="5"/>
  <c r="B119" i="5"/>
  <c r="D113" i="5"/>
  <c r="F111" i="5"/>
  <c r="B110" i="5"/>
  <c r="D108" i="5"/>
  <c r="F106" i="5"/>
  <c r="B105" i="5"/>
  <c r="D103" i="5"/>
  <c r="F101" i="5"/>
  <c r="B100" i="5"/>
  <c r="D98" i="5"/>
  <c r="E170" i="5"/>
  <c r="C167" i="5"/>
  <c r="E165" i="5"/>
  <c r="C162" i="5"/>
  <c r="E160" i="5"/>
  <c r="C157" i="5"/>
  <c r="E155" i="5"/>
  <c r="C152" i="5"/>
  <c r="E150" i="5"/>
  <c r="C147" i="5"/>
  <c r="E145" i="5"/>
  <c r="C142" i="5"/>
  <c r="E140" i="5"/>
  <c r="C137" i="5"/>
  <c r="E135" i="5"/>
  <c r="C132" i="5"/>
  <c r="E130" i="5"/>
  <c r="C127" i="5"/>
  <c r="E125" i="5"/>
  <c r="C122" i="5"/>
  <c r="E120" i="5"/>
  <c r="C113" i="5"/>
  <c r="E111" i="5"/>
  <c r="C108" i="5"/>
  <c r="E106" i="5"/>
  <c r="C103" i="5"/>
  <c r="E101" i="5"/>
  <c r="C98" i="5"/>
  <c r="E96" i="5"/>
  <c r="C93" i="5"/>
  <c r="E91" i="5"/>
  <c r="C88" i="5"/>
  <c r="E86" i="5"/>
  <c r="C83" i="5"/>
  <c r="E81" i="5"/>
  <c r="C78" i="5"/>
  <c r="E76" i="5"/>
  <c r="C73" i="5"/>
  <c r="E71" i="5"/>
  <c r="C68" i="5"/>
  <c r="E66" i="5"/>
  <c r="C63" i="5"/>
  <c r="E57" i="5"/>
  <c r="C54" i="5"/>
  <c r="E52" i="5"/>
  <c r="C49" i="5"/>
  <c r="E47" i="5"/>
  <c r="C44" i="5"/>
  <c r="E42" i="5"/>
  <c r="C39" i="5"/>
  <c r="E37" i="5"/>
  <c r="C34" i="5"/>
  <c r="E32" i="5"/>
  <c r="C29" i="5"/>
  <c r="E27" i="5"/>
  <c r="C24" i="5"/>
  <c r="E22" i="5"/>
  <c r="C19" i="5"/>
  <c r="E17" i="5"/>
  <c r="C14" i="5"/>
  <c r="E12" i="5"/>
  <c r="C9" i="5"/>
  <c r="E7" i="5"/>
  <c r="D170" i="5"/>
  <c r="F168" i="5"/>
  <c r="B167" i="5"/>
  <c r="D165" i="5"/>
  <c r="F163" i="5"/>
  <c r="B162" i="5"/>
  <c r="D160" i="5"/>
  <c r="F158" i="5"/>
  <c r="B157" i="5"/>
  <c r="D155" i="5"/>
  <c r="F153" i="5"/>
  <c r="B152" i="5"/>
  <c r="D150" i="5"/>
  <c r="F148" i="5"/>
  <c r="B147" i="5"/>
  <c r="D145" i="5"/>
  <c r="F143" i="5"/>
  <c r="B142" i="5"/>
  <c r="D140" i="5"/>
  <c r="F138" i="5"/>
  <c r="B137" i="5"/>
  <c r="D135" i="5"/>
  <c r="F133" i="5"/>
  <c r="B132" i="5"/>
  <c r="D130" i="5"/>
  <c r="F128" i="5"/>
  <c r="B127" i="5"/>
  <c r="D125" i="5"/>
  <c r="F123" i="5"/>
  <c r="B122" i="5"/>
  <c r="D120" i="5"/>
  <c r="F114" i="5"/>
  <c r="B113" i="5"/>
  <c r="D111" i="5"/>
  <c r="F109" i="5"/>
  <c r="B108" i="5"/>
  <c r="D106" i="5"/>
  <c r="F104" i="5"/>
  <c r="B103" i="5"/>
  <c r="D101" i="5"/>
  <c r="F99" i="5"/>
  <c r="B98" i="5"/>
  <c r="D96" i="5"/>
  <c r="F94" i="5"/>
  <c r="B93" i="5"/>
  <c r="D91" i="5"/>
  <c r="F89" i="5"/>
  <c r="B88" i="5"/>
  <c r="D86" i="5"/>
  <c r="D110" i="5"/>
  <c r="B101" i="5"/>
  <c r="F97" i="5"/>
  <c r="B86" i="5"/>
  <c r="F81" i="5"/>
  <c r="D79" i="5"/>
  <c r="C77" i="5"/>
  <c r="B75" i="5"/>
  <c r="F64" i="5"/>
  <c r="E62" i="5"/>
  <c r="E56" i="5"/>
  <c r="E54" i="5"/>
  <c r="F52" i="5"/>
  <c r="F50" i="5"/>
  <c r="F48" i="5"/>
  <c r="F46" i="5"/>
  <c r="B43" i="5"/>
  <c r="B41" i="5"/>
  <c r="B39" i="5"/>
  <c r="C37" i="5"/>
  <c r="E35" i="5"/>
  <c r="F33" i="5"/>
  <c r="C30" i="5"/>
  <c r="D123" i="5"/>
  <c r="D114" i="5"/>
  <c r="D105" i="5"/>
  <c r="D97" i="5"/>
  <c r="D94" i="5"/>
  <c r="F91" i="5"/>
  <c r="F88" i="5"/>
  <c r="F83" i="5"/>
  <c r="D81" i="5"/>
  <c r="B79" i="5"/>
  <c r="B77" i="5"/>
  <c r="F72" i="5"/>
  <c r="F70" i="5"/>
  <c r="F68" i="5"/>
  <c r="F66" i="5"/>
  <c r="D64" i="5"/>
  <c r="D62" i="5"/>
  <c r="D56" i="5"/>
  <c r="D54" i="5"/>
  <c r="D52" i="5"/>
  <c r="D50" i="5"/>
  <c r="E48" i="5"/>
  <c r="E46" i="5"/>
  <c r="F44" i="5"/>
  <c r="B37" i="5"/>
  <c r="D35" i="5"/>
  <c r="E33" i="5"/>
  <c r="D109" i="5"/>
  <c r="F100" i="5"/>
  <c r="B97" i="5"/>
  <c r="B94" i="5"/>
  <c r="B91" i="5"/>
  <c r="D88" i="5"/>
  <c r="F85" i="5"/>
  <c r="D83" i="5"/>
  <c r="B81" i="5"/>
  <c r="F74" i="5"/>
  <c r="E72" i="5"/>
  <c r="E70" i="5"/>
  <c r="D68" i="5"/>
  <c r="D66" i="5"/>
  <c r="C64" i="5"/>
  <c r="C62" i="5"/>
  <c r="B56" i="5"/>
  <c r="B54" i="5"/>
  <c r="B52" i="5"/>
  <c r="C50" i="5"/>
  <c r="D48" i="5"/>
  <c r="D46" i="5"/>
  <c r="E44" i="5"/>
  <c r="F42" i="5"/>
  <c r="F40" i="5"/>
  <c r="F38" i="5"/>
  <c r="C35" i="5"/>
  <c r="D33" i="5"/>
  <c r="E31" i="5"/>
  <c r="B28" i="5"/>
  <c r="C26" i="5"/>
  <c r="E24" i="5"/>
  <c r="F22" i="5"/>
  <c r="B19" i="5"/>
  <c r="C17" i="5"/>
  <c r="E15" i="5"/>
  <c r="F13" i="5"/>
  <c r="C10" i="5"/>
  <c r="D8" i="5"/>
  <c r="E6" i="5"/>
  <c r="F113" i="5"/>
  <c r="D104" i="5"/>
  <c r="D100" i="5"/>
  <c r="E85" i="5"/>
  <c r="B83" i="5"/>
  <c r="F78" i="5"/>
  <c r="F76" i="5"/>
  <c r="D74" i="5"/>
  <c r="D72" i="5"/>
  <c r="D70" i="5"/>
  <c r="B68" i="5"/>
  <c r="B66" i="5"/>
  <c r="B64" i="5"/>
  <c r="B62" i="5"/>
  <c r="B50" i="5"/>
  <c r="C48" i="5"/>
  <c r="C46" i="5"/>
  <c r="D44" i="5"/>
  <c r="D42" i="5"/>
  <c r="D40" i="5"/>
  <c r="E38" i="5"/>
  <c r="F36" i="5"/>
  <c r="B35" i="5"/>
  <c r="C33" i="5"/>
  <c r="D31" i="5"/>
  <c r="F29" i="5"/>
  <c r="B26" i="5"/>
  <c r="D24" i="5"/>
  <c r="D22" i="5"/>
  <c r="F20" i="5"/>
  <c r="B17" i="5"/>
  <c r="D15" i="5"/>
  <c r="E13" i="5"/>
  <c r="F11" i="5"/>
  <c r="B10" i="5"/>
  <c r="C8" i="5"/>
  <c r="D6" i="5"/>
  <c r="F121" i="5"/>
  <c r="F108" i="5"/>
  <c r="F96" i="5"/>
  <c r="F93" i="5"/>
  <c r="F90" i="5"/>
  <c r="F87" i="5"/>
  <c r="D85" i="5"/>
  <c r="F80" i="5"/>
  <c r="D78" i="5"/>
  <c r="D76" i="5"/>
  <c r="C74" i="5"/>
  <c r="C72" i="5"/>
  <c r="B70" i="5"/>
  <c r="F55" i="5"/>
  <c r="F53" i="5"/>
  <c r="F51" i="5"/>
  <c r="B48" i="5"/>
  <c r="B46" i="5"/>
  <c r="B44" i="5"/>
  <c r="B42" i="5"/>
  <c r="C40" i="5"/>
  <c r="D38" i="5"/>
  <c r="E36" i="5"/>
  <c r="B33" i="5"/>
  <c r="C31" i="5"/>
  <c r="E29" i="5"/>
  <c r="F27" i="5"/>
  <c r="B24" i="5"/>
  <c r="B121" i="5"/>
  <c r="F112" i="5"/>
  <c r="F103" i="5"/>
  <c r="D99" i="5"/>
  <c r="B96" i="5"/>
  <c r="D93" i="5"/>
  <c r="D90" i="5"/>
  <c r="D87" i="5"/>
  <c r="B85" i="5"/>
  <c r="F82" i="5"/>
  <c r="E80" i="5"/>
  <c r="B78" i="5"/>
  <c r="B76" i="5"/>
  <c r="B74" i="5"/>
  <c r="B72" i="5"/>
  <c r="F67" i="5"/>
  <c r="F65" i="5"/>
  <c r="F63" i="5"/>
  <c r="F57" i="5"/>
  <c r="D55" i="5"/>
  <c r="E53" i="5"/>
  <c r="E51" i="5"/>
  <c r="F49" i="5"/>
  <c r="B40" i="5"/>
  <c r="C38" i="5"/>
  <c r="D36" i="5"/>
  <c r="F34" i="5"/>
  <c r="B31" i="5"/>
  <c r="D29" i="5"/>
  <c r="D27" i="5"/>
  <c r="F25" i="5"/>
  <c r="B22" i="5"/>
  <c r="D20" i="5"/>
  <c r="E18" i="5"/>
  <c r="F16" i="5"/>
  <c r="B15" i="5"/>
  <c r="C13" i="5"/>
  <c r="D11" i="5"/>
  <c r="F126" i="5"/>
  <c r="B112" i="5"/>
  <c r="F107" i="5"/>
  <c r="B99" i="5"/>
  <c r="B90" i="5"/>
  <c r="C87" i="5"/>
  <c r="D82" i="5"/>
  <c r="D80" i="5"/>
  <c r="F69" i="5"/>
  <c r="E67" i="5"/>
  <c r="E65" i="5"/>
  <c r="D63" i="5"/>
  <c r="D57" i="5"/>
  <c r="C55" i="5"/>
  <c r="D53" i="5"/>
  <c r="D51" i="5"/>
  <c r="E49" i="5"/>
  <c r="F47" i="5"/>
  <c r="B120" i="5"/>
  <c r="B107" i="5"/>
  <c r="F102" i="5"/>
  <c r="F95" i="5"/>
  <c r="F92" i="5"/>
  <c r="B87" i="5"/>
  <c r="F84" i="5"/>
  <c r="C82" i="5"/>
  <c r="B80" i="5"/>
  <c r="F77" i="5"/>
  <c r="F75" i="5"/>
  <c r="F73" i="5"/>
  <c r="F71" i="5"/>
  <c r="D69" i="5"/>
  <c r="D67" i="5"/>
  <c r="D65" i="5"/>
  <c r="B63" i="5"/>
  <c r="B57" i="5"/>
  <c r="B55" i="5"/>
  <c r="C53" i="5"/>
  <c r="C51" i="5"/>
  <c r="B125" i="5"/>
  <c r="B111" i="5"/>
  <c r="B102" i="5"/>
  <c r="F98" i="5"/>
  <c r="D95" i="5"/>
  <c r="D92" i="5"/>
  <c r="D89" i="5"/>
  <c r="D84" i="5"/>
  <c r="B82" i="5"/>
  <c r="E77" i="5"/>
  <c r="E75" i="5"/>
  <c r="D73" i="5"/>
  <c r="D71" i="5"/>
  <c r="C69" i="5"/>
  <c r="C67" i="5"/>
  <c r="B65" i="5"/>
  <c r="B53" i="5"/>
  <c r="B51" i="5"/>
  <c r="B49" i="5"/>
  <c r="B47" i="5"/>
  <c r="C45" i="5"/>
  <c r="D43" i="5"/>
  <c r="D41" i="5"/>
  <c r="E39" i="5"/>
  <c r="F37" i="5"/>
  <c r="B34" i="5"/>
  <c r="C32" i="5"/>
  <c r="E30" i="5"/>
  <c r="F28" i="5"/>
  <c r="C25" i="5"/>
  <c r="D23" i="5"/>
  <c r="D119" i="5"/>
  <c r="B106" i="5"/>
  <c r="B95" i="5"/>
  <c r="B92" i="5"/>
  <c r="B89" i="5"/>
  <c r="F86" i="5"/>
  <c r="B84" i="5"/>
  <c r="F79" i="5"/>
  <c r="D77" i="5"/>
  <c r="D75" i="5"/>
  <c r="B73" i="5"/>
  <c r="B71" i="5"/>
  <c r="B69" i="5"/>
  <c r="B67" i="5"/>
  <c r="F56" i="5"/>
  <c r="F54" i="5"/>
  <c r="B45" i="5"/>
  <c r="C43" i="5"/>
  <c r="C41" i="5"/>
  <c r="D39" i="5"/>
  <c r="D37" i="5"/>
  <c r="F35" i="5"/>
  <c r="B32" i="5"/>
  <c r="D30" i="5"/>
  <c r="E28" i="5"/>
  <c r="F26" i="5"/>
  <c r="B25" i="5"/>
  <c r="C23" i="5"/>
  <c r="D21" i="5"/>
  <c r="F19" i="5"/>
  <c r="B16" i="5"/>
  <c r="D14" i="5"/>
  <c r="E41" i="5"/>
  <c r="B27" i="5"/>
  <c r="F23" i="5"/>
  <c r="C18" i="5"/>
  <c r="F15" i="5"/>
  <c r="F12" i="5"/>
  <c r="E10" i="5"/>
  <c r="B8" i="5"/>
  <c r="D12" i="5"/>
  <c r="D10" i="5"/>
  <c r="F45" i="5"/>
  <c r="F30" i="5"/>
  <c r="E23" i="5"/>
  <c r="E20" i="5"/>
  <c r="B18" i="5"/>
  <c r="C15" i="5"/>
  <c r="D45" i="5"/>
  <c r="E34" i="5"/>
  <c r="B30" i="5"/>
  <c r="F39" i="5"/>
  <c r="D34" i="5"/>
  <c r="D26" i="5"/>
  <c r="B20" i="5"/>
  <c r="F17" i="5"/>
  <c r="B29" i="5"/>
  <c r="C22" i="5"/>
  <c r="D17" i="5"/>
  <c r="E14" i="5"/>
  <c r="E9" i="5"/>
  <c r="C7" i="5"/>
  <c r="C5" i="5"/>
  <c r="D49" i="5"/>
  <c r="F43" i="5"/>
  <c r="B38" i="5"/>
  <c r="E25" i="5"/>
  <c r="E19" i="5"/>
  <c r="B14" i="5"/>
  <c r="E11" i="5"/>
  <c r="E43" i="5"/>
  <c r="F32" i="5"/>
  <c r="D32" i="5"/>
  <c r="C28" i="5"/>
  <c r="E21" i="5"/>
  <c r="D16" i="5"/>
  <c r="D13" i="5"/>
  <c r="B11" i="5"/>
  <c r="F6" i="5"/>
  <c r="D47" i="5"/>
  <c r="C36" i="5"/>
  <c r="F24" i="5"/>
  <c r="C21" i="5"/>
  <c r="F41" i="5"/>
  <c r="C27" i="5"/>
  <c r="F21" i="5"/>
  <c r="B12" i="5"/>
  <c r="B21" i="5"/>
  <c r="E16" i="5"/>
  <c r="E26" i="5"/>
  <c r="C16" i="5"/>
  <c r="C11" i="5"/>
  <c r="B5" i="5"/>
  <c r="C20" i="5"/>
  <c r="F7" i="5"/>
  <c r="F31" i="5"/>
  <c r="D25" i="5"/>
  <c r="F10" i="5"/>
  <c r="D7" i="5"/>
  <c r="D19" i="5"/>
  <c r="F14" i="5"/>
  <c r="B7" i="5"/>
  <c r="F9" i="5"/>
  <c r="F18" i="5"/>
  <c r="C6" i="5"/>
  <c r="B23" i="5"/>
  <c r="B13" i="5"/>
  <c r="D9" i="5"/>
  <c r="B36" i="5"/>
  <c r="D28" i="5"/>
  <c r="D18" i="5"/>
  <c r="B9" i="5"/>
  <c r="B6" i="5"/>
  <c r="C12" i="5"/>
  <c r="F8" i="5"/>
  <c r="E5" i="5"/>
  <c r="D5" i="5"/>
  <c r="E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200-000001000000}">
      <text>
        <r>
          <rPr>
            <sz val="10"/>
            <rFont val="Arial"/>
            <family val="2"/>
          </rPr>
          <t>Enter the Monday that starts the week. The dashboard derives MMWR week and season from this date.</t>
        </r>
      </text>
    </comment>
    <comment ref="B1" authorId="0" shapeId="0" xr:uid="{00000000-0006-0000-0200-000002000000}">
      <text>
        <r>
          <rPr>
            <sz val="10"/>
            <rFont val="Arial"/>
            <family val="2"/>
          </rPr>
          <t>Mono County residents, from CalREDIE by report date (columns B-D). Covid = confirmed + probable; flu and RSV = initial reports. Weeks with no reports are 0.</t>
        </r>
      </text>
    </comment>
    <comment ref="E1" authorId="0" shapeId="0" xr:uid="{00000000-0006-0000-0200-000003000000}">
      <text>
        <r>
          <rPr>
            <sz val="10"/>
            <rFont val="Arial"/>
            <family val="2"/>
          </rPr>
          <t>Mammoth Hospital weekly report. "Total" = all patients including visitors; "local" = Mono County residents. Flu A/B and vaccination status refer to the MH flu total.</t>
        </r>
      </text>
    </comment>
    <comment ref="R1" authorId="0" shapeId="0" xr:uid="{00000000-0006-0000-0200-000004000000}">
      <text>
        <r>
          <rPr>
            <sz val="10"/>
            <rFont val="Arial"/>
            <family val="2"/>
          </rPr>
          <t>Calculated: week-ending Saturday, MMWR year/week, and season (MMWR week 36 through 35). Do not edit; the Seasons sheet uses these.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4" authorId="0" shapeId="0" xr:uid="{00000000-0006-0000-0400-000001000000}">
      <text>
        <r>
          <rPr>
            <sz val="10"/>
            <rFont val="Arial"/>
            <family val="2"/>
          </rPr>
          <t>All values are formulas. To fix a number, edit it in Weekly_Local, not here.</t>
        </r>
      </text>
    </comment>
    <comment ref="G4" authorId="0" shapeId="0" xr:uid="{00000000-0006-0000-0400-000002000000}">
      <text>
        <r>
          <rPr>
            <sz val="10"/>
            <rFont val="Arial"/>
            <family val="2"/>
          </rPr>
          <t>Calculated from the Season start date in Config; shows the Monday–Sunday dates each MMWR week covers in the current season.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500-000001000000}">
      <text>
        <r>
          <rPr>
            <sz val="10"/>
            <rFont val="Arial"/>
            <family val="2"/>
          </rPr>
          <t>Read-only history through 9/7/2026 (Verily contract ended 9/14/2026). New weeks go in Wastewater_Local; the dashboard joins the two.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600-000001000000}">
      <text>
        <r>
          <rPr>
            <sz val="10"/>
            <rFont val="Arial"/>
            <family val="2"/>
          </rPr>
          <t>Weekly "pathogen trend" value from the Verily dashboard for the Mammoth plant (publichealth.verily.com), ratio of virus to PMMoV x 1M.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700-000001000000}">
      <text>
        <r>
          <rPr>
            <sz val="10"/>
            <rFont val="Arial"/>
            <family val="2"/>
          </rPr>
          <t>Enter as a fraction (0.12 = 12%). Source: CDPH Respiratory Virus Report, test positivity, Southern California region. US columns are fallback only; the dashboard pulls CDC NREVSS live.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800-000001000000}">
      <text>
        <r>
          <rPr>
            <sz val="10"/>
            <rFont val="Arial"/>
            <family val="2"/>
          </rPr>
          <t>Season-to-date counts. Add a new block of rows for each season; the dashboard shows the current season.</t>
        </r>
      </text>
    </comment>
  </commentList>
</comments>
</file>

<file path=xl/sharedStrings.xml><?xml version="1.0" encoding="utf-8"?>
<sst xmlns="http://schemas.openxmlformats.org/spreadsheetml/2006/main" count="255" uniqueCount="135">
  <si>
    <t>Mono County Respiratory Virus Tracker</t>
  </si>
  <si>
    <t>Feeds the Respiratory Virus Dashboard (index.html). Update the yellow cells weekly, save, and reload the dashboard.</t>
  </si>
  <si>
    <t>How to update each week</t>
  </si>
  <si>
    <t>1. Weekly_Local: add one row per week (Monday date). Case counts from CalREDIE; admissions, Flu A/B, and vax status from Mammoth Hospital.</t>
  </si>
  <si>
    <t>2. Weekly_ELR: enter positive and negative ELR counts; percent positivity is calculated.</t>
  </si>
  <si>
    <t>3. Wastewater_Local: enter Verily values for the Mammoth plant and the current UC Davis trend table. These also feed the Cases vs wastewater tab.</t>
  </si>
  <si>
    <t>4. State_National: optional manual entry from CDPH Respiratory Virus Report and CalCAT. CDC wastewater and NREVSS positivity load live in the dashboard; these cells are the fallback if the live pull fails.</t>
  </si>
  <si>
    <t>5. Flu_Age_Vax: season-to-date flu cases by age group and vaccination status.</t>
  </si>
  <si>
    <t>6. Highlights: bullets shown on the dashboard Overview; newest first.</t>
  </si>
  <si>
    <t>7. Config: set the current season label and report date.</t>
  </si>
  <si>
    <t>Conventions</t>
  </si>
  <si>
    <t>Yellow cells are inputs. Blue-grey cells are formulas; do not type over them.</t>
  </si>
  <si>
    <t>Week = Monday start date, matching the prior tracker. MMWR week and season are computed by the dashboard from the date (week ending Saturday). A season runs MMWR week 36 through week 35 of the following year.</t>
  </si>
  <si>
    <t>Note: the week of 12/29/2025 is MMWR week 53 of 2025; the prior tracker labeled it week 1, so the 2025-26 curve shifts one week right compared with last year's slides.</t>
  </si>
  <si>
    <t>Leave a cell blank when a value was not collected; enter 0 only for a true zero.</t>
  </si>
  <si>
    <t>Do not rename sheets or column headers; the dashboard reads them by name.</t>
  </si>
  <si>
    <t>Prefill</t>
  </si>
  <si>
    <t>Weekly_Local runs from 11/28/2022. Case counts for all weeks come from CalREDIE exports by report date (Covid confirmed + probable; flu and RSV initial reports). Mammoth Hospital columns were carried over from the Winter23, Winter24, and Winter25 trackers (see Notes). ELR history starts 12/25/2023. The Seasons sheet is formula-driven from Weekly_Local. Verily wastewater Oct 2024 to 9/2026 is in Wastewater_History (read-only).</t>
  </si>
  <si>
    <t>2026-27 rows are pre-dated (Monday 9/7/2026 through 5/31/2027) in Weekly_Local, Weekly_ELR, Wastewater_Local, and State_National. Fill values into the matching week; a dated row with no values is ignored by the dashboard.</t>
  </si>
  <si>
    <t>Setting</t>
  </si>
  <si>
    <t>Value</t>
  </si>
  <si>
    <t>Notes</t>
  </si>
  <si>
    <t>Current season</t>
  </si>
  <si>
    <t>2026-27</t>
  </si>
  <si>
    <t>Label shown in the dashboard; format YYYY-YY</t>
  </si>
  <si>
    <t>Season start date</t>
  </si>
  <si>
    <t>Monday of the first week of the season (MMWR week 36). For 2026 that is 9/7/2026.</t>
  </si>
  <si>
    <t>Report date</t>
  </si>
  <si>
    <t>Shown on the dashboard header and print cover</t>
  </si>
  <si>
    <t>Jurisdiction</t>
  </si>
  <si>
    <t>Mono County</t>
  </si>
  <si>
    <t>Wastewater site name</t>
  </si>
  <si>
    <t>Mammoth Lakes (Verily)</t>
  </si>
  <si>
    <t>Label for the local wastewater series</t>
  </si>
  <si>
    <t>Prepared by</t>
  </si>
  <si>
    <t>Mono County Health &amp; Human Services, Public Health Division</t>
  </si>
  <si>
    <t>Wastewater note</t>
  </si>
  <si>
    <t>Wastewater sampling paused after 9/9/2026 (Verily contract ended 9/14/2026); resumes late September 2026 under a new contract.</t>
  </si>
  <si>
    <t>Shown on the wastewater panels; clear it when sampling resumes</t>
  </si>
  <si>
    <t>Week (Mon)</t>
  </si>
  <si>
    <t>Covid-19 cases</t>
  </si>
  <si>
    <t>Flu cases</t>
  </si>
  <si>
    <t>RSV cases</t>
  </si>
  <si>
    <t>MH Covid (total)</t>
  </si>
  <si>
    <t>MH Covid (local)</t>
  </si>
  <si>
    <t>MH Flu (total)</t>
  </si>
  <si>
    <t>MH Flu (local)</t>
  </si>
  <si>
    <t>MH RSV (total)</t>
  </si>
  <si>
    <t>MH RSV (local)</t>
  </si>
  <si>
    <t>MH Flu A</t>
  </si>
  <si>
    <t>MH Flu B</t>
  </si>
  <si>
    <t>MH Flu A+B</t>
  </si>
  <si>
    <t>MH Flu vax 'Yes'</t>
  </si>
  <si>
    <t>MH Flu vax 'No'/'Unknown'</t>
  </si>
  <si>
    <t>MH Flu vax rate</t>
  </si>
  <si>
    <t>Week ending (Sat)</t>
  </si>
  <si>
    <t>MMWR year</t>
  </si>
  <si>
    <t>MMWR week</t>
  </si>
  <si>
    <t>Season</t>
  </si>
  <si>
    <t>MH data from Winter23Tracker</t>
  </si>
  <si>
    <t>MH data from Winter24Tracker</t>
  </si>
  <si>
    <t>2026-27 season starts here (MMWR week 36)</t>
  </si>
  <si>
    <t>Covid positive</t>
  </si>
  <si>
    <t>Covid negative</t>
  </si>
  <si>
    <t>Covid % pos</t>
  </si>
  <si>
    <t>Flu positive</t>
  </si>
  <si>
    <t>Flu negative</t>
  </si>
  <si>
    <t>Flu % pos</t>
  </si>
  <si>
    <t>RSV positive</t>
  </si>
  <si>
    <t>RSV negative</t>
  </si>
  <si>
    <t>RSV % pos</t>
  </si>
  <si>
    <t>2026-27 season starts here</t>
  </si>
  <si>
    <t>Weekly reported cases by MMWR week and season, calculated from Weekly_Local; blank until that week is entered. The dates column shows which Monday–Sunday each MMWR week covers in the season set in Config. MMWR week 53 exists only in some years.</t>
  </si>
  <si>
    <t>Covid-19</t>
  </si>
  <si>
    <t>2022-23</t>
  </si>
  <si>
    <t>2023-24</t>
  </si>
  <si>
    <t>2024-25</t>
  </si>
  <si>
    <t>2025-26</t>
  </si>
  <si>
    <t>Dates, current season (Mon–Sun)</t>
  </si>
  <si>
    <t>Flu</t>
  </si>
  <si>
    <t>RSV</t>
  </si>
  <si>
    <t>SARS-CoV-2</t>
  </si>
  <si>
    <t>Influenza A</t>
  </si>
  <si>
    <t>Influenza B</t>
  </si>
  <si>
    <t>Influenza A (H5)</t>
  </si>
  <si>
    <t>Influenza A (H1)</t>
  </si>
  <si>
    <t>Influenza A (H3)</t>
  </si>
  <si>
    <t>Measles</t>
  </si>
  <si>
    <t>Mpox clade I</t>
  </si>
  <si>
    <t>Mpox clade II</t>
  </si>
  <si>
    <t>Norovirus GII</t>
  </si>
  <si>
    <t>Samples</t>
  </si>
  <si>
    <t>Mammoth Community Water District, Verily (ddPCR). Weekly mean across samples of (target copies/L ÷ PMMoV copies/L) × 1,000,000. Blank = target not assayed that week; 0 = not detected.</t>
  </si>
  <si>
    <t>UC Davis trend table (current snapshot)</t>
  </si>
  <si>
    <t>Pathogen</t>
  </si>
  <si>
    <t>Trend</t>
  </si>
  <si>
    <t>Percent change</t>
  </si>
  <si>
    <t>Level</t>
  </si>
  <si>
    <t>As of</t>
  </si>
  <si>
    <t>H1</t>
  </si>
  <si>
    <t>H3</t>
  </si>
  <si>
    <t>H5</t>
  </si>
  <si>
    <t>Overwrite weekly from cricelio.shinyapps.io/Monodashboard. Leave blank until the first 2026-27 update.</t>
  </si>
  <si>
    <t>CA Covid % pos</t>
  </si>
  <si>
    <t>CA Flu % pos</t>
  </si>
  <si>
    <t>CA RSV % pos</t>
  </si>
  <si>
    <t>CA combined burden</t>
  </si>
  <si>
    <t>CA Covid R-eff</t>
  </si>
  <si>
    <t>US Covid % pos</t>
  </si>
  <si>
    <t>US Flu % pos</t>
  </si>
  <si>
    <t>US RSV % pos</t>
  </si>
  <si>
    <t>Age group</t>
  </si>
  <si>
    <t>Vax No</t>
  </si>
  <si>
    <t>Vax Yes</t>
  </si>
  <si>
    <t>Vax Unknown</t>
  </si>
  <si>
    <t>Total</t>
  </si>
  <si>
    <t>% vaccinated</t>
  </si>
  <si>
    <t>0–4 yrs</t>
  </si>
  <si>
    <t>5–17 yrs</t>
  </si>
  <si>
    <t>18–49 yrs</t>
  </si>
  <si>
    <t>50–64 yrs</t>
  </si>
  <si>
    <t>65+ yrs</t>
  </si>
  <si>
    <t>Date</t>
  </si>
  <si>
    <t>Highlight</t>
  </si>
  <si>
    <t>Source link</t>
  </si>
  <si>
    <t>RSV activity remains elevated in California. CDPH has extended the recommendation for RSV immunization (nirsevimab, clesrovimab) of eligible infants and children through April 30, 2026.</t>
  </si>
  <si>
    <t>https://www.cdph.ca.gov/Programs/CID/DCDC/Pages/Respiratory-Viruses/Home.aspx</t>
  </si>
  <si>
    <t>Seasonal flu is still circulating across California but activity is declining.</t>
  </si>
  <si>
    <t>https://www.cdph.ca.gov/Programs/CID/DCDC/Pages/RespiratoryVirusReport.aspx</t>
  </si>
  <si>
    <t>Medium</t>
  </si>
  <si>
    <t>Low</t>
  </si>
  <si>
    <t>Sporadic</t>
  </si>
  <si>
    <t>ND</t>
  </si>
  <si>
    <t>No Trend</t>
  </si>
  <si>
    <t>Moderate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</si>
</sst>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0.0%"/>
  </numFmts>
  <fonts count="9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0F3A52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b/>
      <sz val="11"/>
      <color rgb="FF0F3A52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F3A52"/>
        <bgColor rgb="FF333333"/>
      </patternFill>
    </fill>
    <fill>
      <patternFill patternType="solid">
        <fgColor rgb="FFEAF0F4"/>
        <bgColor rgb="FFFFF9DB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9D3DB"/>
      </left>
      <right style="thin">
        <color rgb="FFC9D3DB"/>
      </right>
      <top style="thin">
        <color rgb="FFC9D3DB"/>
      </top>
      <bottom style="thin">
        <color rgb="FFC9D3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/>
    <xf numFmtId="0" fontId="3" fillId="4" borderId="1" xfId="0" applyFont="1" applyFill="1" applyBorder="1"/>
    <xf numFmtId="0" fontId="6" fillId="0" borderId="1" xfId="0" applyFont="1" applyBorder="1"/>
    <xf numFmtId="164" fontId="3" fillId="4" borderId="1" xfId="0" applyNumberFormat="1" applyFont="1" applyFill="1" applyBorder="1"/>
    <xf numFmtId="0" fontId="3" fillId="4" borderId="1" xfId="0" applyFont="1" applyFill="1" applyBorder="1" applyAlignment="1">
      <alignment vertical="top" wrapText="1"/>
    </xf>
    <xf numFmtId="165" fontId="3" fillId="3" borderId="1" xfId="0" applyNumberFormat="1" applyFont="1" applyFill="1" applyBorder="1"/>
    <xf numFmtId="164" fontId="3" fillId="3" borderId="1" xfId="0" applyNumberFormat="1" applyFont="1" applyFill="1" applyBorder="1"/>
    <xf numFmtId="0" fontId="6" fillId="0" borderId="0" xfId="0" applyFont="1"/>
    <xf numFmtId="0" fontId="7" fillId="0" borderId="0" xfId="0" applyFont="1"/>
    <xf numFmtId="0" fontId="8" fillId="0" borderId="0" xfId="0" applyFont="1"/>
    <xf numFmtId="165" fontId="3" fillId="4" borderId="1" xfId="0" applyNumberFormat="1" applyFont="1" applyFill="1" applyBorder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EAF0F4"/>
      <rgbColor rgb="FF660066"/>
      <rgbColor rgb="FFFF8080"/>
      <rgbColor rgb="FF0066CC"/>
      <rgbColor rgb="FFC9D3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F3A52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zoomScaleNormal="100" workbookViewId="0"/>
  </sheetViews>
  <sheetFormatPr baseColWidth="10" defaultColWidth="8.6640625" defaultRowHeight="15" x14ac:dyDescent="0.2"/>
  <cols>
    <col min="1" max="1" width="120" customWidth="1"/>
  </cols>
  <sheetData>
    <row r="1" spans="1:1" ht="19" x14ac:dyDescent="0.2">
      <c r="A1" s="1" t="s">
        <v>0</v>
      </c>
    </row>
    <row r="2" spans="1:1" x14ac:dyDescent="0.2">
      <c r="A2" s="2" t="s">
        <v>1</v>
      </c>
    </row>
    <row r="3" spans="1:1" x14ac:dyDescent="0.2">
      <c r="A3" s="2"/>
    </row>
    <row r="4" spans="1:1" x14ac:dyDescent="0.2">
      <c r="A4" s="3" t="s">
        <v>2</v>
      </c>
    </row>
    <row r="5" spans="1:1" x14ac:dyDescent="0.2">
      <c r="A5" s="2" t="s">
        <v>3</v>
      </c>
    </row>
    <row r="6" spans="1:1" x14ac:dyDescent="0.2">
      <c r="A6" s="2" t="s">
        <v>4</v>
      </c>
    </row>
    <row r="7" spans="1:1" x14ac:dyDescent="0.2">
      <c r="A7" s="2" t="s">
        <v>5</v>
      </c>
    </row>
    <row r="8" spans="1:1" ht="28" x14ac:dyDescent="0.2">
      <c r="A8" s="2" t="s">
        <v>6</v>
      </c>
    </row>
    <row r="9" spans="1:1" x14ac:dyDescent="0.2">
      <c r="A9" s="2" t="s">
        <v>7</v>
      </c>
    </row>
    <row r="10" spans="1:1" x14ac:dyDescent="0.2">
      <c r="A10" s="2" t="s">
        <v>8</v>
      </c>
    </row>
    <row r="11" spans="1:1" x14ac:dyDescent="0.2">
      <c r="A11" s="2" t="s">
        <v>9</v>
      </c>
    </row>
    <row r="12" spans="1:1" x14ac:dyDescent="0.2">
      <c r="A12" s="2"/>
    </row>
    <row r="13" spans="1:1" x14ac:dyDescent="0.2">
      <c r="A13" s="3" t="s">
        <v>10</v>
      </c>
    </row>
    <row r="14" spans="1:1" x14ac:dyDescent="0.2">
      <c r="A14" s="2" t="s">
        <v>11</v>
      </c>
    </row>
    <row r="15" spans="1:1" ht="28" x14ac:dyDescent="0.2">
      <c r="A15" s="2" t="s">
        <v>12</v>
      </c>
    </row>
    <row r="16" spans="1:1" ht="28" x14ac:dyDescent="0.2">
      <c r="A16" s="2" t="s">
        <v>13</v>
      </c>
    </row>
    <row r="17" spans="1:1" x14ac:dyDescent="0.2">
      <c r="A17" s="2" t="s">
        <v>14</v>
      </c>
    </row>
    <row r="18" spans="1:1" x14ac:dyDescent="0.2">
      <c r="A18" s="2" t="s">
        <v>15</v>
      </c>
    </row>
    <row r="19" spans="1:1" x14ac:dyDescent="0.2">
      <c r="A19" s="2"/>
    </row>
    <row r="20" spans="1:1" x14ac:dyDescent="0.2">
      <c r="A20" s="3" t="s">
        <v>16</v>
      </c>
    </row>
    <row r="21" spans="1:1" ht="42" x14ac:dyDescent="0.2">
      <c r="A21" s="2" t="s">
        <v>17</v>
      </c>
    </row>
    <row r="22" spans="1:1" ht="28" x14ac:dyDescent="0.2">
      <c r="A22" s="2" t="s">
        <v>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44" customWidth="1"/>
    <col min="3" max="3" width="70" customWidth="1"/>
  </cols>
  <sheetData>
    <row r="1" spans="1:3" ht="31.5" customHeight="1" x14ac:dyDescent="0.2">
      <c r="A1" s="4" t="s">
        <v>19</v>
      </c>
      <c r="B1" s="4" t="s">
        <v>20</v>
      </c>
      <c r="C1" s="4" t="s">
        <v>21</v>
      </c>
    </row>
    <row r="2" spans="1:3" x14ac:dyDescent="0.2">
      <c r="A2" s="5" t="s">
        <v>22</v>
      </c>
      <c r="B2" s="6" t="s">
        <v>23</v>
      </c>
      <c r="C2" s="7" t="s">
        <v>24</v>
      </c>
    </row>
    <row r="3" spans="1:3" x14ac:dyDescent="0.2">
      <c r="A3" s="5" t="s">
        <v>25</v>
      </c>
      <c r="B3" s="8">
        <v>46272</v>
      </c>
      <c r="C3" s="7" t="s">
        <v>26</v>
      </c>
    </row>
    <row r="4" spans="1:3" x14ac:dyDescent="0.2">
      <c r="A4" s="5" t="s">
        <v>27</v>
      </c>
      <c r="B4" s="8">
        <v>46280</v>
      </c>
      <c r="C4" s="7" t="s">
        <v>28</v>
      </c>
    </row>
    <row r="5" spans="1:3" x14ac:dyDescent="0.2">
      <c r="A5" s="5" t="s">
        <v>29</v>
      </c>
      <c r="B5" s="6" t="s">
        <v>30</v>
      </c>
      <c r="C5" s="7"/>
    </row>
    <row r="6" spans="1:3" x14ac:dyDescent="0.2">
      <c r="A6" s="5" t="s">
        <v>31</v>
      </c>
      <c r="B6" s="6" t="s">
        <v>32</v>
      </c>
      <c r="C6" s="7" t="s">
        <v>33</v>
      </c>
    </row>
    <row r="7" spans="1:3" x14ac:dyDescent="0.2">
      <c r="A7" s="5" t="s">
        <v>34</v>
      </c>
      <c r="B7" s="6" t="s">
        <v>35</v>
      </c>
      <c r="C7" s="7"/>
    </row>
    <row r="8" spans="1:3" ht="42" x14ac:dyDescent="0.2">
      <c r="A8" s="5" t="s">
        <v>36</v>
      </c>
      <c r="B8" s="9" t="s">
        <v>37</v>
      </c>
      <c r="C8" s="7" t="s">
        <v>38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37"/>
  <sheetViews>
    <sheetView zoomScaleNormal="100" workbookViewId="0">
      <pane ySplit="1" topLeftCell="A164" activePane="bottomLeft" state="frozen"/>
      <selection pane="bottomLeft" activeCell="Q202" sqref="Q202"/>
    </sheetView>
  </sheetViews>
  <sheetFormatPr baseColWidth="10" defaultColWidth="8.6640625" defaultRowHeight="15" x14ac:dyDescent="0.2"/>
  <cols>
    <col min="1" max="1" width="12" customWidth="1"/>
    <col min="2" max="2" width="10" customWidth="1"/>
    <col min="3" max="4" width="9" customWidth="1"/>
    <col min="5" max="10" width="10" customWidth="1"/>
    <col min="11" max="13" width="9" customWidth="1"/>
    <col min="14" max="14" width="11" customWidth="1"/>
    <col min="15" max="15" width="13" customWidth="1"/>
    <col min="16" max="16" width="10" customWidth="1"/>
    <col min="17" max="17" width="40" customWidth="1"/>
    <col min="18" max="18" width="12" customWidth="1"/>
    <col min="19" max="21" width="9" customWidth="1"/>
  </cols>
  <sheetData>
    <row r="1" spans="1:21" ht="31.5" customHeight="1" x14ac:dyDescent="0.2">
      <c r="A1" s="4" t="s">
        <v>39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44</v>
      </c>
      <c r="G1" s="4" t="s">
        <v>45</v>
      </c>
      <c r="H1" s="4" t="s">
        <v>46</v>
      </c>
      <c r="I1" s="4" t="s">
        <v>47</v>
      </c>
      <c r="J1" s="4" t="s">
        <v>48</v>
      </c>
      <c r="K1" s="4" t="s">
        <v>49</v>
      </c>
      <c r="L1" s="4" t="s">
        <v>50</v>
      </c>
      <c r="M1" s="4" t="s">
        <v>51</v>
      </c>
      <c r="N1" s="4" t="s">
        <v>52</v>
      </c>
      <c r="O1" s="4" t="s">
        <v>53</v>
      </c>
      <c r="P1" s="4" t="s">
        <v>54</v>
      </c>
      <c r="Q1" s="4" t="s">
        <v>21</v>
      </c>
      <c r="R1" s="4" t="s">
        <v>55</v>
      </c>
      <c r="S1" s="4" t="s">
        <v>56</v>
      </c>
      <c r="T1" s="4" t="s">
        <v>57</v>
      </c>
      <c r="U1" s="4" t="s">
        <v>58</v>
      </c>
    </row>
    <row r="2" spans="1:21" x14ac:dyDescent="0.2">
      <c r="A2" s="8">
        <v>44893</v>
      </c>
      <c r="B2" s="6">
        <v>2</v>
      </c>
      <c r="C2" s="6">
        <v>2</v>
      </c>
      <c r="D2" s="6"/>
      <c r="E2" s="6"/>
      <c r="F2" s="6"/>
      <c r="G2" s="6"/>
      <c r="H2" s="6"/>
      <c r="I2" s="6"/>
      <c r="J2" s="6"/>
      <c r="K2" s="6"/>
      <c r="L2" s="6"/>
      <c r="M2" s="5" t="str">
        <f t="shared" ref="M2:M65" si="0">IF(AND(K2="",L2=""),"",SUM(K2:L2))</f>
        <v/>
      </c>
      <c r="N2" s="6"/>
      <c r="O2" s="6"/>
      <c r="P2" s="10" t="str">
        <f t="shared" ref="P2:P65" si="1">IF(OR(M2="",M2=0),"",IF(N2="",0,N2)/M2)</f>
        <v/>
      </c>
      <c r="Q2" s="7"/>
      <c r="R2" s="11">
        <f t="shared" ref="R2:R65" si="2">A2+5</f>
        <v>44898</v>
      </c>
      <c r="S2" s="5">
        <f t="shared" ref="S2:S65" si="3">IF(R2&gt;=DATE(YEAR(R2)+1,1,4)-WEEKDAY(DATE(YEAR(R2)+1,1,4))+1,YEAR(R2)+1,IF(R2&lt;DATE(YEAR(R2),1,4)-WEEKDAY(DATE(YEAR(R2),1,4))+1,YEAR(R2)-1,YEAR(R2)))</f>
        <v>2022</v>
      </c>
      <c r="T2" s="5">
        <f t="shared" ref="T2:T65" si="4">INT((R2-(DATE(S2,1,4)-WEEKDAY(DATE(S2,1,4))+1))/7)+1</f>
        <v>48</v>
      </c>
      <c r="U2" s="5" t="str">
        <f t="shared" ref="U2:U65" si="5">IF(T2&gt;=36,S2&amp;"-"&amp;RIGHT(S2+1,2),(S2-1)&amp;"-"&amp;RIGHT(S2,2))</f>
        <v>2022-23</v>
      </c>
    </row>
    <row r="3" spans="1:21" x14ac:dyDescent="0.2">
      <c r="A3" s="8">
        <v>44900</v>
      </c>
      <c r="B3" s="6">
        <v>8</v>
      </c>
      <c r="C3" s="6">
        <v>2</v>
      </c>
      <c r="D3" s="6"/>
      <c r="E3" s="6"/>
      <c r="F3" s="6"/>
      <c r="G3" s="6"/>
      <c r="H3" s="6"/>
      <c r="I3" s="6"/>
      <c r="J3" s="6"/>
      <c r="K3" s="6"/>
      <c r="L3" s="6"/>
      <c r="M3" s="5" t="str">
        <f t="shared" si="0"/>
        <v/>
      </c>
      <c r="N3" s="6"/>
      <c r="O3" s="6"/>
      <c r="P3" s="10" t="str">
        <f t="shared" si="1"/>
        <v/>
      </c>
      <c r="Q3" s="7"/>
      <c r="R3" s="11">
        <f t="shared" si="2"/>
        <v>44905</v>
      </c>
      <c r="S3" s="5">
        <f t="shared" si="3"/>
        <v>2022</v>
      </c>
      <c r="T3" s="5">
        <f t="shared" si="4"/>
        <v>49</v>
      </c>
      <c r="U3" s="5" t="str">
        <f t="shared" si="5"/>
        <v>2022-23</v>
      </c>
    </row>
    <row r="4" spans="1:21" x14ac:dyDescent="0.2">
      <c r="A4" s="8">
        <v>44907</v>
      </c>
      <c r="B4" s="6">
        <v>5</v>
      </c>
      <c r="C4" s="6">
        <v>3</v>
      </c>
      <c r="D4" s="6"/>
      <c r="E4" s="6"/>
      <c r="F4" s="6"/>
      <c r="G4" s="6"/>
      <c r="H4" s="6"/>
      <c r="I4" s="6"/>
      <c r="J4" s="6"/>
      <c r="K4" s="6"/>
      <c r="L4" s="6"/>
      <c r="M4" s="5" t="str">
        <f t="shared" si="0"/>
        <v/>
      </c>
      <c r="N4" s="6"/>
      <c r="O4" s="6"/>
      <c r="P4" s="10" t="str">
        <f t="shared" si="1"/>
        <v/>
      </c>
      <c r="Q4" s="7"/>
      <c r="R4" s="11">
        <f t="shared" si="2"/>
        <v>44912</v>
      </c>
      <c r="S4" s="5">
        <f t="shared" si="3"/>
        <v>2022</v>
      </c>
      <c r="T4" s="5">
        <f t="shared" si="4"/>
        <v>50</v>
      </c>
      <c r="U4" s="5" t="str">
        <f t="shared" si="5"/>
        <v>2022-23</v>
      </c>
    </row>
    <row r="5" spans="1:21" x14ac:dyDescent="0.2">
      <c r="A5" s="8">
        <v>44914</v>
      </c>
      <c r="B5" s="6">
        <v>16</v>
      </c>
      <c r="C5" s="6">
        <v>1</v>
      </c>
      <c r="D5" s="6">
        <v>1</v>
      </c>
      <c r="E5" s="6"/>
      <c r="F5" s="6"/>
      <c r="G5" s="6"/>
      <c r="H5" s="6"/>
      <c r="I5" s="6"/>
      <c r="J5" s="6"/>
      <c r="K5" s="6"/>
      <c r="L5" s="6"/>
      <c r="M5" s="5" t="str">
        <f t="shared" si="0"/>
        <v/>
      </c>
      <c r="N5" s="6"/>
      <c r="O5" s="6"/>
      <c r="P5" s="10" t="str">
        <f t="shared" si="1"/>
        <v/>
      </c>
      <c r="Q5" s="7"/>
      <c r="R5" s="11">
        <f t="shared" si="2"/>
        <v>44919</v>
      </c>
      <c r="S5" s="5">
        <f t="shared" si="3"/>
        <v>2022</v>
      </c>
      <c r="T5" s="5">
        <f t="shared" si="4"/>
        <v>51</v>
      </c>
      <c r="U5" s="5" t="str">
        <f t="shared" si="5"/>
        <v>2022-23</v>
      </c>
    </row>
    <row r="6" spans="1:21" x14ac:dyDescent="0.2">
      <c r="A6" s="8">
        <v>44921</v>
      </c>
      <c r="B6" s="6">
        <v>18</v>
      </c>
      <c r="C6" s="6">
        <v>1</v>
      </c>
      <c r="D6" s="6">
        <v>0</v>
      </c>
      <c r="E6" s="6"/>
      <c r="F6" s="6"/>
      <c r="G6" s="6"/>
      <c r="H6" s="6"/>
      <c r="I6" s="6"/>
      <c r="J6" s="6"/>
      <c r="K6" s="6"/>
      <c r="L6" s="6"/>
      <c r="M6" s="5" t="str">
        <f t="shared" si="0"/>
        <v/>
      </c>
      <c r="N6" s="6"/>
      <c r="O6" s="6"/>
      <c r="P6" s="10" t="str">
        <f t="shared" si="1"/>
        <v/>
      </c>
      <c r="Q6" s="7"/>
      <c r="R6" s="11">
        <f t="shared" si="2"/>
        <v>44926</v>
      </c>
      <c r="S6" s="5">
        <f t="shared" si="3"/>
        <v>2022</v>
      </c>
      <c r="T6" s="5">
        <f t="shared" si="4"/>
        <v>52</v>
      </c>
      <c r="U6" s="5" t="str">
        <f t="shared" si="5"/>
        <v>2022-23</v>
      </c>
    </row>
    <row r="7" spans="1:21" x14ac:dyDescent="0.2">
      <c r="A7" s="8">
        <v>44928</v>
      </c>
      <c r="B7" s="6">
        <v>13</v>
      </c>
      <c r="C7" s="6">
        <v>1</v>
      </c>
      <c r="D7" s="6">
        <v>1</v>
      </c>
      <c r="E7" s="6"/>
      <c r="F7" s="6"/>
      <c r="G7" s="6"/>
      <c r="H7" s="6"/>
      <c r="I7" s="6"/>
      <c r="J7" s="6"/>
      <c r="K7" s="6"/>
      <c r="L7" s="6"/>
      <c r="M7" s="5" t="str">
        <f t="shared" si="0"/>
        <v/>
      </c>
      <c r="N7" s="6"/>
      <c r="O7" s="6"/>
      <c r="P7" s="10" t="str">
        <f t="shared" si="1"/>
        <v/>
      </c>
      <c r="Q7" s="7"/>
      <c r="R7" s="11">
        <f t="shared" si="2"/>
        <v>44933</v>
      </c>
      <c r="S7" s="5">
        <f t="shared" si="3"/>
        <v>2023</v>
      </c>
      <c r="T7" s="5">
        <f t="shared" si="4"/>
        <v>1</v>
      </c>
      <c r="U7" s="5" t="str">
        <f t="shared" si="5"/>
        <v>2022-23</v>
      </c>
    </row>
    <row r="8" spans="1:21" x14ac:dyDescent="0.2">
      <c r="A8" s="8">
        <v>44935</v>
      </c>
      <c r="B8" s="6">
        <v>9</v>
      </c>
      <c r="C8" s="6">
        <v>0</v>
      </c>
      <c r="D8" s="6">
        <v>0</v>
      </c>
      <c r="E8" s="6"/>
      <c r="F8" s="6"/>
      <c r="G8" s="6"/>
      <c r="H8" s="6"/>
      <c r="I8" s="6"/>
      <c r="J8" s="6"/>
      <c r="K8" s="6"/>
      <c r="L8" s="6"/>
      <c r="M8" s="5" t="str">
        <f t="shared" si="0"/>
        <v/>
      </c>
      <c r="N8" s="6"/>
      <c r="O8" s="6"/>
      <c r="P8" s="10" t="str">
        <f t="shared" si="1"/>
        <v/>
      </c>
      <c r="Q8" s="7"/>
      <c r="R8" s="11">
        <f t="shared" si="2"/>
        <v>44940</v>
      </c>
      <c r="S8" s="5">
        <f t="shared" si="3"/>
        <v>2023</v>
      </c>
      <c r="T8" s="5">
        <f t="shared" si="4"/>
        <v>2</v>
      </c>
      <c r="U8" s="5" t="str">
        <f t="shared" si="5"/>
        <v>2022-23</v>
      </c>
    </row>
    <row r="9" spans="1:21" x14ac:dyDescent="0.2">
      <c r="A9" s="8">
        <v>44942</v>
      </c>
      <c r="B9" s="6">
        <v>6</v>
      </c>
      <c r="C9" s="6">
        <v>0</v>
      </c>
      <c r="D9" s="6">
        <v>0</v>
      </c>
      <c r="E9" s="6"/>
      <c r="F9" s="6"/>
      <c r="G9" s="6"/>
      <c r="H9" s="6"/>
      <c r="I9" s="6"/>
      <c r="J9" s="6"/>
      <c r="K9" s="6"/>
      <c r="L9" s="6"/>
      <c r="M9" s="5" t="str">
        <f t="shared" si="0"/>
        <v/>
      </c>
      <c r="N9" s="6"/>
      <c r="O9" s="6"/>
      <c r="P9" s="10" t="str">
        <f t="shared" si="1"/>
        <v/>
      </c>
      <c r="Q9" s="7"/>
      <c r="R9" s="11">
        <f t="shared" si="2"/>
        <v>44947</v>
      </c>
      <c r="S9" s="5">
        <f t="shared" si="3"/>
        <v>2023</v>
      </c>
      <c r="T9" s="5">
        <f t="shared" si="4"/>
        <v>3</v>
      </c>
      <c r="U9" s="5" t="str">
        <f t="shared" si="5"/>
        <v>2022-23</v>
      </c>
    </row>
    <row r="10" spans="1:21" x14ac:dyDescent="0.2">
      <c r="A10" s="8">
        <v>44949</v>
      </c>
      <c r="B10" s="6">
        <v>5</v>
      </c>
      <c r="C10" s="6">
        <v>0</v>
      </c>
      <c r="D10" s="6">
        <v>0</v>
      </c>
      <c r="E10" s="6"/>
      <c r="F10" s="6"/>
      <c r="G10" s="6"/>
      <c r="H10" s="6"/>
      <c r="I10" s="6"/>
      <c r="J10" s="6"/>
      <c r="K10" s="6"/>
      <c r="L10" s="6"/>
      <c r="M10" s="5" t="str">
        <f t="shared" si="0"/>
        <v/>
      </c>
      <c r="N10" s="6"/>
      <c r="O10" s="6"/>
      <c r="P10" s="10" t="str">
        <f t="shared" si="1"/>
        <v/>
      </c>
      <c r="Q10" s="7"/>
      <c r="R10" s="11">
        <f t="shared" si="2"/>
        <v>44954</v>
      </c>
      <c r="S10" s="5">
        <f t="shared" si="3"/>
        <v>2023</v>
      </c>
      <c r="T10" s="5">
        <f t="shared" si="4"/>
        <v>4</v>
      </c>
      <c r="U10" s="5" t="str">
        <f t="shared" si="5"/>
        <v>2022-23</v>
      </c>
    </row>
    <row r="11" spans="1:21" x14ac:dyDescent="0.2">
      <c r="A11" s="8">
        <v>44956</v>
      </c>
      <c r="B11" s="6">
        <v>5</v>
      </c>
      <c r="C11" s="6">
        <v>0</v>
      </c>
      <c r="D11" s="6">
        <v>0</v>
      </c>
      <c r="E11" s="6"/>
      <c r="F11" s="6"/>
      <c r="G11" s="6"/>
      <c r="H11" s="6"/>
      <c r="I11" s="6"/>
      <c r="J11" s="6"/>
      <c r="K11" s="6"/>
      <c r="L11" s="6"/>
      <c r="M11" s="5" t="str">
        <f t="shared" si="0"/>
        <v/>
      </c>
      <c r="N11" s="6"/>
      <c r="O11" s="6"/>
      <c r="P11" s="10" t="str">
        <f t="shared" si="1"/>
        <v/>
      </c>
      <c r="Q11" s="7"/>
      <c r="R11" s="11">
        <f t="shared" si="2"/>
        <v>44961</v>
      </c>
      <c r="S11" s="5">
        <f t="shared" si="3"/>
        <v>2023</v>
      </c>
      <c r="T11" s="5">
        <f t="shared" si="4"/>
        <v>5</v>
      </c>
      <c r="U11" s="5" t="str">
        <f t="shared" si="5"/>
        <v>2022-23</v>
      </c>
    </row>
    <row r="12" spans="1:21" x14ac:dyDescent="0.2">
      <c r="A12" s="8">
        <v>44963</v>
      </c>
      <c r="B12" s="6">
        <v>3</v>
      </c>
      <c r="C12" s="6">
        <v>2</v>
      </c>
      <c r="D12" s="6">
        <v>0</v>
      </c>
      <c r="E12" s="6"/>
      <c r="F12" s="6"/>
      <c r="G12" s="6"/>
      <c r="H12" s="6"/>
      <c r="I12" s="6"/>
      <c r="J12" s="6"/>
      <c r="K12" s="6"/>
      <c r="L12" s="6"/>
      <c r="M12" s="5" t="str">
        <f t="shared" si="0"/>
        <v/>
      </c>
      <c r="N12" s="6"/>
      <c r="O12" s="6"/>
      <c r="P12" s="10" t="str">
        <f t="shared" si="1"/>
        <v/>
      </c>
      <c r="Q12" s="7"/>
      <c r="R12" s="11">
        <f t="shared" si="2"/>
        <v>44968</v>
      </c>
      <c r="S12" s="5">
        <f t="shared" si="3"/>
        <v>2023</v>
      </c>
      <c r="T12" s="5">
        <f t="shared" si="4"/>
        <v>6</v>
      </c>
      <c r="U12" s="5" t="str">
        <f t="shared" si="5"/>
        <v>2022-23</v>
      </c>
    </row>
    <row r="13" spans="1:21" x14ac:dyDescent="0.2">
      <c r="A13" s="8">
        <v>44970</v>
      </c>
      <c r="B13" s="6">
        <v>2</v>
      </c>
      <c r="C13" s="6">
        <v>0</v>
      </c>
      <c r="D13" s="6">
        <v>0</v>
      </c>
      <c r="E13" s="6"/>
      <c r="F13" s="6"/>
      <c r="G13" s="6"/>
      <c r="H13" s="6"/>
      <c r="I13" s="6"/>
      <c r="J13" s="6"/>
      <c r="K13" s="6"/>
      <c r="L13" s="6"/>
      <c r="M13" s="5" t="str">
        <f t="shared" si="0"/>
        <v/>
      </c>
      <c r="N13" s="6"/>
      <c r="O13" s="6"/>
      <c r="P13" s="10" t="str">
        <f t="shared" si="1"/>
        <v/>
      </c>
      <c r="Q13" s="7"/>
      <c r="R13" s="11">
        <f t="shared" si="2"/>
        <v>44975</v>
      </c>
      <c r="S13" s="5">
        <f t="shared" si="3"/>
        <v>2023</v>
      </c>
      <c r="T13" s="5">
        <f t="shared" si="4"/>
        <v>7</v>
      </c>
      <c r="U13" s="5" t="str">
        <f t="shared" si="5"/>
        <v>2022-23</v>
      </c>
    </row>
    <row r="14" spans="1:21" x14ac:dyDescent="0.2">
      <c r="A14" s="8">
        <v>44977</v>
      </c>
      <c r="B14" s="6">
        <v>5</v>
      </c>
      <c r="C14" s="6">
        <v>0</v>
      </c>
      <c r="D14" s="6">
        <v>0</v>
      </c>
      <c r="E14" s="6"/>
      <c r="F14" s="6"/>
      <c r="G14" s="6"/>
      <c r="H14" s="6"/>
      <c r="I14" s="6"/>
      <c r="J14" s="6"/>
      <c r="K14" s="6"/>
      <c r="L14" s="6"/>
      <c r="M14" s="5" t="str">
        <f t="shared" si="0"/>
        <v/>
      </c>
      <c r="N14" s="6"/>
      <c r="O14" s="6"/>
      <c r="P14" s="10" t="str">
        <f t="shared" si="1"/>
        <v/>
      </c>
      <c r="Q14" s="7"/>
      <c r="R14" s="11">
        <f t="shared" si="2"/>
        <v>44982</v>
      </c>
      <c r="S14" s="5">
        <f t="shared" si="3"/>
        <v>2023</v>
      </c>
      <c r="T14" s="5">
        <f t="shared" si="4"/>
        <v>8</v>
      </c>
      <c r="U14" s="5" t="str">
        <f t="shared" si="5"/>
        <v>2022-23</v>
      </c>
    </row>
    <row r="15" spans="1:21" x14ac:dyDescent="0.2">
      <c r="A15" s="8">
        <v>44984</v>
      </c>
      <c r="B15" s="6">
        <v>4</v>
      </c>
      <c r="C15" s="6">
        <v>0</v>
      </c>
      <c r="D15" s="6">
        <v>0</v>
      </c>
      <c r="E15" s="6"/>
      <c r="F15" s="6"/>
      <c r="G15" s="6"/>
      <c r="H15" s="6"/>
      <c r="I15" s="6"/>
      <c r="J15" s="6"/>
      <c r="K15" s="6"/>
      <c r="L15" s="6"/>
      <c r="M15" s="5" t="str">
        <f t="shared" si="0"/>
        <v/>
      </c>
      <c r="N15" s="6"/>
      <c r="O15" s="6"/>
      <c r="P15" s="10" t="str">
        <f t="shared" si="1"/>
        <v/>
      </c>
      <c r="Q15" s="7"/>
      <c r="R15" s="11">
        <f t="shared" si="2"/>
        <v>44989</v>
      </c>
      <c r="S15" s="5">
        <f t="shared" si="3"/>
        <v>2023</v>
      </c>
      <c r="T15" s="5">
        <f t="shared" si="4"/>
        <v>9</v>
      </c>
      <c r="U15" s="5" t="str">
        <f t="shared" si="5"/>
        <v>2022-23</v>
      </c>
    </row>
    <row r="16" spans="1:21" x14ac:dyDescent="0.2">
      <c r="A16" s="8">
        <v>44991</v>
      </c>
      <c r="B16" s="6">
        <v>3</v>
      </c>
      <c r="C16" s="6">
        <v>0</v>
      </c>
      <c r="D16" s="6">
        <v>0</v>
      </c>
      <c r="E16" s="6"/>
      <c r="F16" s="6"/>
      <c r="G16" s="6"/>
      <c r="H16" s="6"/>
      <c r="I16" s="6"/>
      <c r="J16" s="6"/>
      <c r="K16" s="6"/>
      <c r="L16" s="6"/>
      <c r="M16" s="5" t="str">
        <f t="shared" si="0"/>
        <v/>
      </c>
      <c r="N16" s="6"/>
      <c r="O16" s="6"/>
      <c r="P16" s="10" t="str">
        <f t="shared" si="1"/>
        <v/>
      </c>
      <c r="Q16" s="7"/>
      <c r="R16" s="11">
        <f t="shared" si="2"/>
        <v>44996</v>
      </c>
      <c r="S16" s="5">
        <f t="shared" si="3"/>
        <v>2023</v>
      </c>
      <c r="T16" s="5">
        <f t="shared" si="4"/>
        <v>10</v>
      </c>
      <c r="U16" s="5" t="str">
        <f t="shared" si="5"/>
        <v>2022-23</v>
      </c>
    </row>
    <row r="17" spans="1:21" x14ac:dyDescent="0.2">
      <c r="A17" s="8">
        <v>44998</v>
      </c>
      <c r="B17" s="6">
        <v>5</v>
      </c>
      <c r="C17" s="6">
        <v>0</v>
      </c>
      <c r="D17" s="6">
        <v>0</v>
      </c>
      <c r="E17" s="6"/>
      <c r="F17" s="6"/>
      <c r="G17" s="6"/>
      <c r="H17" s="6"/>
      <c r="I17" s="6"/>
      <c r="J17" s="6"/>
      <c r="K17" s="6"/>
      <c r="L17" s="6"/>
      <c r="M17" s="5" t="str">
        <f t="shared" si="0"/>
        <v/>
      </c>
      <c r="N17" s="6"/>
      <c r="O17" s="6"/>
      <c r="P17" s="10" t="str">
        <f t="shared" si="1"/>
        <v/>
      </c>
      <c r="Q17" s="7"/>
      <c r="R17" s="11">
        <f t="shared" si="2"/>
        <v>45003</v>
      </c>
      <c r="S17" s="5">
        <f t="shared" si="3"/>
        <v>2023</v>
      </c>
      <c r="T17" s="5">
        <f t="shared" si="4"/>
        <v>11</v>
      </c>
      <c r="U17" s="5" t="str">
        <f t="shared" si="5"/>
        <v>2022-23</v>
      </c>
    </row>
    <row r="18" spans="1:21" x14ac:dyDescent="0.2">
      <c r="A18" s="8">
        <v>45005</v>
      </c>
      <c r="B18" s="6">
        <v>1</v>
      </c>
      <c r="C18" s="6">
        <v>0</v>
      </c>
      <c r="D18" s="6">
        <v>0</v>
      </c>
      <c r="E18" s="6"/>
      <c r="F18" s="6"/>
      <c r="G18" s="6"/>
      <c r="H18" s="6"/>
      <c r="I18" s="6"/>
      <c r="J18" s="6"/>
      <c r="K18" s="6"/>
      <c r="L18" s="6"/>
      <c r="M18" s="5" t="str">
        <f t="shared" si="0"/>
        <v/>
      </c>
      <c r="N18" s="6"/>
      <c r="O18" s="6"/>
      <c r="P18" s="10" t="str">
        <f t="shared" si="1"/>
        <v/>
      </c>
      <c r="Q18" s="7"/>
      <c r="R18" s="11">
        <f t="shared" si="2"/>
        <v>45010</v>
      </c>
      <c r="S18" s="5">
        <f t="shared" si="3"/>
        <v>2023</v>
      </c>
      <c r="T18" s="5">
        <f t="shared" si="4"/>
        <v>12</v>
      </c>
      <c r="U18" s="5" t="str">
        <f t="shared" si="5"/>
        <v>2022-23</v>
      </c>
    </row>
    <row r="19" spans="1:21" x14ac:dyDescent="0.2">
      <c r="A19" s="8">
        <v>45012</v>
      </c>
      <c r="B19" s="6">
        <v>4</v>
      </c>
      <c r="C19" s="6">
        <v>0</v>
      </c>
      <c r="D19" s="6">
        <v>0</v>
      </c>
      <c r="E19" s="6"/>
      <c r="F19" s="6"/>
      <c r="G19" s="6"/>
      <c r="H19" s="6"/>
      <c r="I19" s="6"/>
      <c r="J19" s="6"/>
      <c r="K19" s="6"/>
      <c r="L19" s="6"/>
      <c r="M19" s="5" t="str">
        <f t="shared" si="0"/>
        <v/>
      </c>
      <c r="N19" s="6"/>
      <c r="O19" s="6"/>
      <c r="P19" s="10" t="str">
        <f t="shared" si="1"/>
        <v/>
      </c>
      <c r="Q19" s="7"/>
      <c r="R19" s="11">
        <f t="shared" si="2"/>
        <v>45017</v>
      </c>
      <c r="S19" s="5">
        <f t="shared" si="3"/>
        <v>2023</v>
      </c>
      <c r="T19" s="5">
        <f t="shared" si="4"/>
        <v>13</v>
      </c>
      <c r="U19" s="5" t="str">
        <f t="shared" si="5"/>
        <v>2022-23</v>
      </c>
    </row>
    <row r="20" spans="1:21" x14ac:dyDescent="0.2">
      <c r="A20" s="8">
        <v>45019</v>
      </c>
      <c r="B20" s="6">
        <v>3</v>
      </c>
      <c r="C20" s="6">
        <v>0</v>
      </c>
      <c r="D20" s="6">
        <v>0</v>
      </c>
      <c r="E20" s="6"/>
      <c r="F20" s="6"/>
      <c r="G20" s="6"/>
      <c r="H20" s="6"/>
      <c r="I20" s="6"/>
      <c r="J20" s="6"/>
      <c r="K20" s="6"/>
      <c r="L20" s="6"/>
      <c r="M20" s="5" t="str">
        <f t="shared" si="0"/>
        <v/>
      </c>
      <c r="N20" s="6"/>
      <c r="O20" s="6"/>
      <c r="P20" s="10" t="str">
        <f t="shared" si="1"/>
        <v/>
      </c>
      <c r="Q20" s="7"/>
      <c r="R20" s="11">
        <f t="shared" si="2"/>
        <v>45024</v>
      </c>
      <c r="S20" s="5">
        <f t="shared" si="3"/>
        <v>2023</v>
      </c>
      <c r="T20" s="5">
        <f t="shared" si="4"/>
        <v>14</v>
      </c>
      <c r="U20" s="5" t="str">
        <f t="shared" si="5"/>
        <v>2022-23</v>
      </c>
    </row>
    <row r="21" spans="1:21" x14ac:dyDescent="0.2">
      <c r="A21" s="8">
        <v>45026</v>
      </c>
      <c r="B21" s="6">
        <v>1</v>
      </c>
      <c r="C21" s="6">
        <v>0</v>
      </c>
      <c r="D21" s="6">
        <v>0</v>
      </c>
      <c r="E21" s="6"/>
      <c r="F21" s="6"/>
      <c r="G21" s="6"/>
      <c r="H21" s="6"/>
      <c r="I21" s="6"/>
      <c r="J21" s="6"/>
      <c r="K21" s="6"/>
      <c r="L21" s="6"/>
      <c r="M21" s="5" t="str">
        <f t="shared" si="0"/>
        <v/>
      </c>
      <c r="N21" s="6"/>
      <c r="O21" s="6"/>
      <c r="P21" s="10" t="str">
        <f t="shared" si="1"/>
        <v/>
      </c>
      <c r="Q21" s="7"/>
      <c r="R21" s="11">
        <f t="shared" si="2"/>
        <v>45031</v>
      </c>
      <c r="S21" s="5">
        <f t="shared" si="3"/>
        <v>2023</v>
      </c>
      <c r="T21" s="5">
        <f t="shared" si="4"/>
        <v>15</v>
      </c>
      <c r="U21" s="5" t="str">
        <f t="shared" si="5"/>
        <v>2022-23</v>
      </c>
    </row>
    <row r="22" spans="1:21" x14ac:dyDescent="0.2">
      <c r="A22" s="8">
        <v>45033</v>
      </c>
      <c r="B22" s="6">
        <v>1</v>
      </c>
      <c r="C22" s="6">
        <v>0</v>
      </c>
      <c r="D22" s="6">
        <v>0</v>
      </c>
      <c r="E22" s="6"/>
      <c r="F22" s="6"/>
      <c r="G22" s="6"/>
      <c r="H22" s="6"/>
      <c r="I22" s="6"/>
      <c r="J22" s="6"/>
      <c r="K22" s="6"/>
      <c r="L22" s="6"/>
      <c r="M22" s="5" t="str">
        <f t="shared" si="0"/>
        <v/>
      </c>
      <c r="N22" s="6"/>
      <c r="O22" s="6"/>
      <c r="P22" s="10" t="str">
        <f t="shared" si="1"/>
        <v/>
      </c>
      <c r="Q22" s="7"/>
      <c r="R22" s="11">
        <f t="shared" si="2"/>
        <v>45038</v>
      </c>
      <c r="S22" s="5">
        <f t="shared" si="3"/>
        <v>2023</v>
      </c>
      <c r="T22" s="5">
        <f t="shared" si="4"/>
        <v>16</v>
      </c>
      <c r="U22" s="5" t="str">
        <f t="shared" si="5"/>
        <v>2022-23</v>
      </c>
    </row>
    <row r="23" spans="1:21" x14ac:dyDescent="0.2">
      <c r="A23" s="8">
        <v>45040</v>
      </c>
      <c r="B23" s="6">
        <v>2</v>
      </c>
      <c r="C23" s="6">
        <v>0</v>
      </c>
      <c r="D23" s="6">
        <v>0</v>
      </c>
      <c r="E23" s="6"/>
      <c r="F23" s="6"/>
      <c r="G23" s="6"/>
      <c r="H23" s="6"/>
      <c r="I23" s="6"/>
      <c r="J23" s="6"/>
      <c r="K23" s="6"/>
      <c r="L23" s="6"/>
      <c r="M23" s="5" t="str">
        <f t="shared" si="0"/>
        <v/>
      </c>
      <c r="N23" s="6"/>
      <c r="O23" s="6"/>
      <c r="P23" s="10" t="str">
        <f t="shared" si="1"/>
        <v/>
      </c>
      <c r="Q23" s="7"/>
      <c r="R23" s="11">
        <f t="shared" si="2"/>
        <v>45045</v>
      </c>
      <c r="S23" s="5">
        <f t="shared" si="3"/>
        <v>2023</v>
      </c>
      <c r="T23" s="5">
        <f t="shared" si="4"/>
        <v>17</v>
      </c>
      <c r="U23" s="5" t="str">
        <f t="shared" si="5"/>
        <v>2022-23</v>
      </c>
    </row>
    <row r="24" spans="1:21" x14ac:dyDescent="0.2">
      <c r="A24" s="8">
        <v>45047</v>
      </c>
      <c r="B24" s="6">
        <v>1</v>
      </c>
      <c r="C24" s="6">
        <v>0</v>
      </c>
      <c r="D24" s="6">
        <v>0</v>
      </c>
      <c r="E24" s="6"/>
      <c r="F24" s="6"/>
      <c r="G24" s="6"/>
      <c r="H24" s="6"/>
      <c r="I24" s="6"/>
      <c r="J24" s="6"/>
      <c r="K24" s="6"/>
      <c r="L24" s="6"/>
      <c r="M24" s="5" t="str">
        <f t="shared" si="0"/>
        <v/>
      </c>
      <c r="N24" s="6"/>
      <c r="O24" s="6"/>
      <c r="P24" s="10" t="str">
        <f t="shared" si="1"/>
        <v/>
      </c>
      <c r="Q24" s="7"/>
      <c r="R24" s="11">
        <f t="shared" si="2"/>
        <v>45052</v>
      </c>
      <c r="S24" s="5">
        <f t="shared" si="3"/>
        <v>2023</v>
      </c>
      <c r="T24" s="5">
        <f t="shared" si="4"/>
        <v>18</v>
      </c>
      <c r="U24" s="5" t="str">
        <f t="shared" si="5"/>
        <v>2022-23</v>
      </c>
    </row>
    <row r="25" spans="1:21" x14ac:dyDescent="0.2">
      <c r="A25" s="8">
        <v>45054</v>
      </c>
      <c r="B25" s="6">
        <v>2</v>
      </c>
      <c r="C25" s="6">
        <v>0</v>
      </c>
      <c r="D25" s="6">
        <v>0</v>
      </c>
      <c r="E25" s="6"/>
      <c r="F25" s="6"/>
      <c r="G25" s="6"/>
      <c r="H25" s="6"/>
      <c r="I25" s="6"/>
      <c r="J25" s="6"/>
      <c r="K25" s="6"/>
      <c r="L25" s="6"/>
      <c r="M25" s="5" t="str">
        <f t="shared" si="0"/>
        <v/>
      </c>
      <c r="N25" s="6"/>
      <c r="O25" s="6"/>
      <c r="P25" s="10" t="str">
        <f t="shared" si="1"/>
        <v/>
      </c>
      <c r="Q25" s="7"/>
      <c r="R25" s="11">
        <f t="shared" si="2"/>
        <v>45059</v>
      </c>
      <c r="S25" s="5">
        <f t="shared" si="3"/>
        <v>2023</v>
      </c>
      <c r="T25" s="5">
        <f t="shared" si="4"/>
        <v>19</v>
      </c>
      <c r="U25" s="5" t="str">
        <f t="shared" si="5"/>
        <v>2022-23</v>
      </c>
    </row>
    <row r="26" spans="1:21" x14ac:dyDescent="0.2">
      <c r="A26" s="8">
        <v>45061</v>
      </c>
      <c r="B26" s="6">
        <v>1</v>
      </c>
      <c r="C26" s="6">
        <v>0</v>
      </c>
      <c r="D26" s="6">
        <v>0</v>
      </c>
      <c r="E26" s="6"/>
      <c r="F26" s="6"/>
      <c r="G26" s="6"/>
      <c r="H26" s="6"/>
      <c r="I26" s="6"/>
      <c r="J26" s="6"/>
      <c r="K26" s="6"/>
      <c r="L26" s="6"/>
      <c r="M26" s="5" t="str">
        <f t="shared" si="0"/>
        <v/>
      </c>
      <c r="N26" s="6"/>
      <c r="O26" s="6"/>
      <c r="P26" s="10" t="str">
        <f t="shared" si="1"/>
        <v/>
      </c>
      <c r="Q26" s="7"/>
      <c r="R26" s="11">
        <f t="shared" si="2"/>
        <v>45066</v>
      </c>
      <c r="S26" s="5">
        <f t="shared" si="3"/>
        <v>2023</v>
      </c>
      <c r="T26" s="5">
        <f t="shared" si="4"/>
        <v>20</v>
      </c>
      <c r="U26" s="5" t="str">
        <f t="shared" si="5"/>
        <v>2022-23</v>
      </c>
    </row>
    <row r="27" spans="1:21" x14ac:dyDescent="0.2">
      <c r="A27" s="8">
        <v>45068</v>
      </c>
      <c r="B27" s="6">
        <v>1</v>
      </c>
      <c r="C27" s="6">
        <v>0</v>
      </c>
      <c r="D27" s="6">
        <v>0</v>
      </c>
      <c r="E27" s="6"/>
      <c r="F27" s="6"/>
      <c r="G27" s="6"/>
      <c r="H27" s="6"/>
      <c r="I27" s="6"/>
      <c r="J27" s="6"/>
      <c r="K27" s="6"/>
      <c r="L27" s="6"/>
      <c r="M27" s="5" t="str">
        <f t="shared" si="0"/>
        <v/>
      </c>
      <c r="N27" s="6"/>
      <c r="O27" s="6"/>
      <c r="P27" s="10" t="str">
        <f t="shared" si="1"/>
        <v/>
      </c>
      <c r="Q27" s="7"/>
      <c r="R27" s="11">
        <f t="shared" si="2"/>
        <v>45073</v>
      </c>
      <c r="S27" s="5">
        <f t="shared" si="3"/>
        <v>2023</v>
      </c>
      <c r="T27" s="5">
        <f t="shared" si="4"/>
        <v>21</v>
      </c>
      <c r="U27" s="5" t="str">
        <f t="shared" si="5"/>
        <v>2022-23</v>
      </c>
    </row>
    <row r="28" spans="1:21" x14ac:dyDescent="0.2">
      <c r="A28" s="8">
        <v>45075</v>
      </c>
      <c r="B28" s="6">
        <v>0</v>
      </c>
      <c r="C28" s="6">
        <v>0</v>
      </c>
      <c r="D28" s="6">
        <v>0</v>
      </c>
      <c r="E28" s="6"/>
      <c r="F28" s="6"/>
      <c r="G28" s="6"/>
      <c r="H28" s="6"/>
      <c r="I28" s="6"/>
      <c r="J28" s="6"/>
      <c r="K28" s="6"/>
      <c r="L28" s="6"/>
      <c r="M28" s="5" t="str">
        <f t="shared" si="0"/>
        <v/>
      </c>
      <c r="N28" s="6"/>
      <c r="O28" s="6"/>
      <c r="P28" s="10" t="str">
        <f t="shared" si="1"/>
        <v/>
      </c>
      <c r="Q28" s="7"/>
      <c r="R28" s="11">
        <f t="shared" si="2"/>
        <v>45080</v>
      </c>
      <c r="S28" s="5">
        <f t="shared" si="3"/>
        <v>2023</v>
      </c>
      <c r="T28" s="5">
        <f t="shared" si="4"/>
        <v>22</v>
      </c>
      <c r="U28" s="5" t="str">
        <f t="shared" si="5"/>
        <v>2022-23</v>
      </c>
    </row>
    <row r="29" spans="1:21" x14ac:dyDescent="0.2">
      <c r="A29" s="8">
        <v>45082</v>
      </c>
      <c r="B29" s="6">
        <v>5</v>
      </c>
      <c r="C29" s="6">
        <v>0</v>
      </c>
      <c r="D29" s="6">
        <v>0</v>
      </c>
      <c r="E29" s="6"/>
      <c r="F29" s="6"/>
      <c r="G29" s="6"/>
      <c r="H29" s="6"/>
      <c r="I29" s="6"/>
      <c r="J29" s="6"/>
      <c r="K29" s="6"/>
      <c r="L29" s="6"/>
      <c r="M29" s="5" t="str">
        <f t="shared" si="0"/>
        <v/>
      </c>
      <c r="N29" s="6"/>
      <c r="O29" s="6"/>
      <c r="P29" s="10" t="str">
        <f t="shared" si="1"/>
        <v/>
      </c>
      <c r="Q29" s="7"/>
      <c r="R29" s="11">
        <f t="shared" si="2"/>
        <v>45087</v>
      </c>
      <c r="S29" s="5">
        <f t="shared" si="3"/>
        <v>2023</v>
      </c>
      <c r="T29" s="5">
        <f t="shared" si="4"/>
        <v>23</v>
      </c>
      <c r="U29" s="5" t="str">
        <f t="shared" si="5"/>
        <v>2022-23</v>
      </c>
    </row>
    <row r="30" spans="1:21" x14ac:dyDescent="0.2">
      <c r="A30" s="8">
        <v>45089</v>
      </c>
      <c r="B30" s="6">
        <v>5</v>
      </c>
      <c r="C30" s="6">
        <v>0</v>
      </c>
      <c r="D30" s="6">
        <v>0</v>
      </c>
      <c r="E30" s="6"/>
      <c r="F30" s="6"/>
      <c r="G30" s="6"/>
      <c r="H30" s="6"/>
      <c r="I30" s="6"/>
      <c r="J30" s="6"/>
      <c r="K30" s="6"/>
      <c r="L30" s="6"/>
      <c r="M30" s="5" t="str">
        <f t="shared" si="0"/>
        <v/>
      </c>
      <c r="N30" s="6"/>
      <c r="O30" s="6"/>
      <c r="P30" s="10" t="str">
        <f t="shared" si="1"/>
        <v/>
      </c>
      <c r="Q30" s="7"/>
      <c r="R30" s="11">
        <f t="shared" si="2"/>
        <v>45094</v>
      </c>
      <c r="S30" s="5">
        <f t="shared" si="3"/>
        <v>2023</v>
      </c>
      <c r="T30" s="5">
        <f t="shared" si="4"/>
        <v>24</v>
      </c>
      <c r="U30" s="5" t="str">
        <f t="shared" si="5"/>
        <v>2022-23</v>
      </c>
    </row>
    <row r="31" spans="1:21" x14ac:dyDescent="0.2">
      <c r="A31" s="8">
        <v>45096</v>
      </c>
      <c r="B31" s="6">
        <v>2</v>
      </c>
      <c r="C31" s="6">
        <v>0</v>
      </c>
      <c r="D31" s="6">
        <v>0</v>
      </c>
      <c r="E31" s="6"/>
      <c r="F31" s="6"/>
      <c r="G31" s="6"/>
      <c r="H31" s="6"/>
      <c r="I31" s="6"/>
      <c r="J31" s="6"/>
      <c r="K31" s="6"/>
      <c r="L31" s="6"/>
      <c r="M31" s="5" t="str">
        <f t="shared" si="0"/>
        <v/>
      </c>
      <c r="N31" s="6"/>
      <c r="O31" s="6"/>
      <c r="P31" s="10" t="str">
        <f t="shared" si="1"/>
        <v/>
      </c>
      <c r="Q31" s="7"/>
      <c r="R31" s="11">
        <f t="shared" si="2"/>
        <v>45101</v>
      </c>
      <c r="S31" s="5">
        <f t="shared" si="3"/>
        <v>2023</v>
      </c>
      <c r="T31" s="5">
        <f t="shared" si="4"/>
        <v>25</v>
      </c>
      <c r="U31" s="5" t="str">
        <f t="shared" si="5"/>
        <v>2022-23</v>
      </c>
    </row>
    <row r="32" spans="1:21" x14ac:dyDescent="0.2">
      <c r="A32" s="8">
        <v>45103</v>
      </c>
      <c r="B32" s="6">
        <v>0</v>
      </c>
      <c r="C32" s="6">
        <v>0</v>
      </c>
      <c r="D32" s="6">
        <v>0</v>
      </c>
      <c r="E32" s="6"/>
      <c r="F32" s="6"/>
      <c r="G32" s="6"/>
      <c r="H32" s="6"/>
      <c r="I32" s="6"/>
      <c r="J32" s="6"/>
      <c r="K32" s="6"/>
      <c r="L32" s="6"/>
      <c r="M32" s="5" t="str">
        <f t="shared" si="0"/>
        <v/>
      </c>
      <c r="N32" s="6"/>
      <c r="O32" s="6"/>
      <c r="P32" s="10" t="str">
        <f t="shared" si="1"/>
        <v/>
      </c>
      <c r="Q32" s="7"/>
      <c r="R32" s="11">
        <f t="shared" si="2"/>
        <v>45108</v>
      </c>
      <c r="S32" s="5">
        <f t="shared" si="3"/>
        <v>2023</v>
      </c>
      <c r="T32" s="5">
        <f t="shared" si="4"/>
        <v>26</v>
      </c>
      <c r="U32" s="5" t="str">
        <f t="shared" si="5"/>
        <v>2022-23</v>
      </c>
    </row>
    <row r="33" spans="1:21" x14ac:dyDescent="0.2">
      <c r="A33" s="8">
        <v>45110</v>
      </c>
      <c r="B33" s="6">
        <v>3</v>
      </c>
      <c r="C33" s="6">
        <v>0</v>
      </c>
      <c r="D33" s="6">
        <v>0</v>
      </c>
      <c r="E33" s="6"/>
      <c r="F33" s="6"/>
      <c r="G33" s="6"/>
      <c r="H33" s="6"/>
      <c r="I33" s="6"/>
      <c r="J33" s="6"/>
      <c r="K33" s="6"/>
      <c r="L33" s="6"/>
      <c r="M33" s="5" t="str">
        <f t="shared" si="0"/>
        <v/>
      </c>
      <c r="N33" s="6"/>
      <c r="O33" s="6"/>
      <c r="P33" s="10" t="str">
        <f t="shared" si="1"/>
        <v/>
      </c>
      <c r="Q33" s="7"/>
      <c r="R33" s="11">
        <f t="shared" si="2"/>
        <v>45115</v>
      </c>
      <c r="S33" s="5">
        <f t="shared" si="3"/>
        <v>2023</v>
      </c>
      <c r="T33" s="5">
        <f t="shared" si="4"/>
        <v>27</v>
      </c>
      <c r="U33" s="5" t="str">
        <f t="shared" si="5"/>
        <v>2022-23</v>
      </c>
    </row>
    <row r="34" spans="1:21" x14ac:dyDescent="0.2">
      <c r="A34" s="8">
        <v>45117</v>
      </c>
      <c r="B34" s="6">
        <v>0</v>
      </c>
      <c r="C34" s="6">
        <v>0</v>
      </c>
      <c r="D34" s="6">
        <v>0</v>
      </c>
      <c r="E34" s="6"/>
      <c r="F34" s="6"/>
      <c r="G34" s="6"/>
      <c r="H34" s="6"/>
      <c r="I34" s="6"/>
      <c r="J34" s="6"/>
      <c r="K34" s="6"/>
      <c r="L34" s="6"/>
      <c r="M34" s="5" t="str">
        <f t="shared" si="0"/>
        <v/>
      </c>
      <c r="N34" s="6"/>
      <c r="O34" s="6"/>
      <c r="P34" s="10" t="str">
        <f t="shared" si="1"/>
        <v/>
      </c>
      <c r="Q34" s="7"/>
      <c r="R34" s="11">
        <f t="shared" si="2"/>
        <v>45122</v>
      </c>
      <c r="S34" s="5">
        <f t="shared" si="3"/>
        <v>2023</v>
      </c>
      <c r="T34" s="5">
        <f t="shared" si="4"/>
        <v>28</v>
      </c>
      <c r="U34" s="5" t="str">
        <f t="shared" si="5"/>
        <v>2022-23</v>
      </c>
    </row>
    <row r="35" spans="1:21" x14ac:dyDescent="0.2">
      <c r="A35" s="8">
        <v>45124</v>
      </c>
      <c r="B35" s="6">
        <v>4</v>
      </c>
      <c r="C35" s="6">
        <v>0</v>
      </c>
      <c r="D35" s="6">
        <v>0</v>
      </c>
      <c r="E35" s="6"/>
      <c r="F35" s="6"/>
      <c r="G35" s="6"/>
      <c r="H35" s="6"/>
      <c r="I35" s="6"/>
      <c r="J35" s="6"/>
      <c r="K35" s="6"/>
      <c r="L35" s="6"/>
      <c r="M35" s="5" t="str">
        <f t="shared" si="0"/>
        <v/>
      </c>
      <c r="N35" s="6"/>
      <c r="O35" s="6"/>
      <c r="P35" s="10" t="str">
        <f t="shared" si="1"/>
        <v/>
      </c>
      <c r="Q35" s="7"/>
      <c r="R35" s="11">
        <f t="shared" si="2"/>
        <v>45129</v>
      </c>
      <c r="S35" s="5">
        <f t="shared" si="3"/>
        <v>2023</v>
      </c>
      <c r="T35" s="5">
        <f t="shared" si="4"/>
        <v>29</v>
      </c>
      <c r="U35" s="5" t="str">
        <f t="shared" si="5"/>
        <v>2022-23</v>
      </c>
    </row>
    <row r="36" spans="1:21" x14ac:dyDescent="0.2">
      <c r="A36" s="8">
        <v>45131</v>
      </c>
      <c r="B36" s="6">
        <v>3</v>
      </c>
      <c r="C36" s="6">
        <v>0</v>
      </c>
      <c r="D36" s="6">
        <v>0</v>
      </c>
      <c r="E36" s="6"/>
      <c r="F36" s="6"/>
      <c r="G36" s="6"/>
      <c r="H36" s="6"/>
      <c r="I36" s="6"/>
      <c r="J36" s="6"/>
      <c r="K36" s="6"/>
      <c r="L36" s="6"/>
      <c r="M36" s="5" t="str">
        <f t="shared" si="0"/>
        <v/>
      </c>
      <c r="N36" s="6"/>
      <c r="O36" s="6"/>
      <c r="P36" s="10" t="str">
        <f t="shared" si="1"/>
        <v/>
      </c>
      <c r="Q36" s="7"/>
      <c r="R36" s="11">
        <f t="shared" si="2"/>
        <v>45136</v>
      </c>
      <c r="S36" s="5">
        <f t="shared" si="3"/>
        <v>2023</v>
      </c>
      <c r="T36" s="5">
        <f t="shared" si="4"/>
        <v>30</v>
      </c>
      <c r="U36" s="5" t="str">
        <f t="shared" si="5"/>
        <v>2022-23</v>
      </c>
    </row>
    <row r="37" spans="1:21" x14ac:dyDescent="0.2">
      <c r="A37" s="8">
        <v>45138</v>
      </c>
      <c r="B37" s="6">
        <v>1</v>
      </c>
      <c r="C37" s="6">
        <v>0</v>
      </c>
      <c r="D37" s="6">
        <v>0</v>
      </c>
      <c r="E37" s="6"/>
      <c r="F37" s="6"/>
      <c r="G37" s="6"/>
      <c r="H37" s="6"/>
      <c r="I37" s="6"/>
      <c r="J37" s="6"/>
      <c r="K37" s="6"/>
      <c r="L37" s="6"/>
      <c r="M37" s="5" t="str">
        <f t="shared" si="0"/>
        <v/>
      </c>
      <c r="N37" s="6"/>
      <c r="O37" s="6"/>
      <c r="P37" s="10" t="str">
        <f t="shared" si="1"/>
        <v/>
      </c>
      <c r="Q37" s="7"/>
      <c r="R37" s="11">
        <f t="shared" si="2"/>
        <v>45143</v>
      </c>
      <c r="S37" s="5">
        <f t="shared" si="3"/>
        <v>2023</v>
      </c>
      <c r="T37" s="5">
        <f t="shared" si="4"/>
        <v>31</v>
      </c>
      <c r="U37" s="5" t="str">
        <f t="shared" si="5"/>
        <v>2022-23</v>
      </c>
    </row>
    <row r="38" spans="1:21" x14ac:dyDescent="0.2">
      <c r="A38" s="8">
        <v>45145</v>
      </c>
      <c r="B38" s="6">
        <v>5</v>
      </c>
      <c r="C38" s="6">
        <v>0</v>
      </c>
      <c r="D38" s="6">
        <v>0</v>
      </c>
      <c r="E38" s="6"/>
      <c r="F38" s="6"/>
      <c r="G38" s="6"/>
      <c r="H38" s="6"/>
      <c r="I38" s="6"/>
      <c r="J38" s="6"/>
      <c r="K38" s="6"/>
      <c r="L38" s="6"/>
      <c r="M38" s="5" t="str">
        <f t="shared" si="0"/>
        <v/>
      </c>
      <c r="N38" s="6"/>
      <c r="O38" s="6"/>
      <c r="P38" s="10" t="str">
        <f t="shared" si="1"/>
        <v/>
      </c>
      <c r="Q38" s="7"/>
      <c r="R38" s="11">
        <f t="shared" si="2"/>
        <v>45150</v>
      </c>
      <c r="S38" s="5">
        <f t="shared" si="3"/>
        <v>2023</v>
      </c>
      <c r="T38" s="5">
        <f t="shared" si="4"/>
        <v>32</v>
      </c>
      <c r="U38" s="5" t="str">
        <f t="shared" si="5"/>
        <v>2022-23</v>
      </c>
    </row>
    <row r="39" spans="1:21" x14ac:dyDescent="0.2">
      <c r="A39" s="8">
        <v>45152</v>
      </c>
      <c r="B39" s="6">
        <v>9</v>
      </c>
      <c r="C39" s="6">
        <v>0</v>
      </c>
      <c r="D39" s="6">
        <v>0</v>
      </c>
      <c r="E39" s="6"/>
      <c r="F39" s="6"/>
      <c r="G39" s="6"/>
      <c r="H39" s="6"/>
      <c r="I39" s="6"/>
      <c r="J39" s="6"/>
      <c r="K39" s="6"/>
      <c r="L39" s="6"/>
      <c r="M39" s="5" t="str">
        <f t="shared" si="0"/>
        <v/>
      </c>
      <c r="N39" s="6"/>
      <c r="O39" s="6"/>
      <c r="P39" s="10" t="str">
        <f t="shared" si="1"/>
        <v/>
      </c>
      <c r="Q39" s="7"/>
      <c r="R39" s="11">
        <f t="shared" si="2"/>
        <v>45157</v>
      </c>
      <c r="S39" s="5">
        <f t="shared" si="3"/>
        <v>2023</v>
      </c>
      <c r="T39" s="5">
        <f t="shared" si="4"/>
        <v>33</v>
      </c>
      <c r="U39" s="5" t="str">
        <f t="shared" si="5"/>
        <v>2022-23</v>
      </c>
    </row>
    <row r="40" spans="1:21" x14ac:dyDescent="0.2">
      <c r="A40" s="8">
        <v>45159</v>
      </c>
      <c r="B40" s="6">
        <v>8</v>
      </c>
      <c r="C40" s="6">
        <v>0</v>
      </c>
      <c r="D40" s="6">
        <v>0</v>
      </c>
      <c r="E40" s="6"/>
      <c r="F40" s="6"/>
      <c r="G40" s="6"/>
      <c r="H40" s="6"/>
      <c r="I40" s="6"/>
      <c r="J40" s="6"/>
      <c r="K40" s="6"/>
      <c r="L40" s="6"/>
      <c r="M40" s="5" t="str">
        <f t="shared" si="0"/>
        <v/>
      </c>
      <c r="N40" s="6"/>
      <c r="O40" s="6"/>
      <c r="P40" s="10" t="str">
        <f t="shared" si="1"/>
        <v/>
      </c>
      <c r="Q40" s="7"/>
      <c r="R40" s="11">
        <f t="shared" si="2"/>
        <v>45164</v>
      </c>
      <c r="S40" s="5">
        <f t="shared" si="3"/>
        <v>2023</v>
      </c>
      <c r="T40" s="5">
        <f t="shared" si="4"/>
        <v>34</v>
      </c>
      <c r="U40" s="5" t="str">
        <f t="shared" si="5"/>
        <v>2022-23</v>
      </c>
    </row>
    <row r="41" spans="1:21" x14ac:dyDescent="0.2">
      <c r="A41" s="8">
        <v>45166</v>
      </c>
      <c r="B41" s="6">
        <v>18</v>
      </c>
      <c r="C41" s="6">
        <v>0</v>
      </c>
      <c r="D41" s="6">
        <v>0</v>
      </c>
      <c r="E41" s="6"/>
      <c r="F41" s="6"/>
      <c r="G41" s="6"/>
      <c r="H41" s="6"/>
      <c r="I41" s="6"/>
      <c r="J41" s="6"/>
      <c r="K41" s="6"/>
      <c r="L41" s="6"/>
      <c r="M41" s="5" t="str">
        <f t="shared" si="0"/>
        <v/>
      </c>
      <c r="N41" s="6"/>
      <c r="O41" s="6"/>
      <c r="P41" s="10" t="str">
        <f t="shared" si="1"/>
        <v/>
      </c>
      <c r="Q41" s="7"/>
      <c r="R41" s="11">
        <f t="shared" si="2"/>
        <v>45171</v>
      </c>
      <c r="S41" s="5">
        <f t="shared" si="3"/>
        <v>2023</v>
      </c>
      <c r="T41" s="5">
        <f t="shared" si="4"/>
        <v>35</v>
      </c>
      <c r="U41" s="5" t="str">
        <f t="shared" si="5"/>
        <v>2022-23</v>
      </c>
    </row>
    <row r="42" spans="1:21" x14ac:dyDescent="0.2">
      <c r="A42" s="8">
        <v>45173</v>
      </c>
      <c r="B42" s="6">
        <v>18</v>
      </c>
      <c r="C42" s="6">
        <v>0</v>
      </c>
      <c r="D42" s="6">
        <v>0</v>
      </c>
      <c r="E42" s="6"/>
      <c r="F42" s="6"/>
      <c r="G42" s="6"/>
      <c r="H42" s="6"/>
      <c r="I42" s="6"/>
      <c r="J42" s="6"/>
      <c r="K42" s="6"/>
      <c r="L42" s="6"/>
      <c r="M42" s="5" t="str">
        <f t="shared" si="0"/>
        <v/>
      </c>
      <c r="N42" s="6"/>
      <c r="O42" s="6"/>
      <c r="P42" s="10" t="str">
        <f t="shared" si="1"/>
        <v/>
      </c>
      <c r="Q42" s="7"/>
      <c r="R42" s="11">
        <f t="shared" si="2"/>
        <v>45178</v>
      </c>
      <c r="S42" s="5">
        <f t="shared" si="3"/>
        <v>2023</v>
      </c>
      <c r="T42" s="5">
        <f t="shared" si="4"/>
        <v>36</v>
      </c>
      <c r="U42" s="5" t="str">
        <f t="shared" si="5"/>
        <v>2023-24</v>
      </c>
    </row>
    <row r="43" spans="1:21" x14ac:dyDescent="0.2">
      <c r="A43" s="8">
        <v>45180</v>
      </c>
      <c r="B43" s="6">
        <v>5</v>
      </c>
      <c r="C43" s="6">
        <v>0</v>
      </c>
      <c r="D43" s="6">
        <v>0</v>
      </c>
      <c r="E43" s="6"/>
      <c r="F43" s="6"/>
      <c r="G43" s="6"/>
      <c r="H43" s="6"/>
      <c r="I43" s="6"/>
      <c r="J43" s="6"/>
      <c r="K43" s="6"/>
      <c r="L43" s="6"/>
      <c r="M43" s="5" t="str">
        <f t="shared" si="0"/>
        <v/>
      </c>
      <c r="N43" s="6"/>
      <c r="O43" s="6"/>
      <c r="P43" s="10" t="str">
        <f t="shared" si="1"/>
        <v/>
      </c>
      <c r="Q43" s="7"/>
      <c r="R43" s="11">
        <f t="shared" si="2"/>
        <v>45185</v>
      </c>
      <c r="S43" s="5">
        <f t="shared" si="3"/>
        <v>2023</v>
      </c>
      <c r="T43" s="5">
        <f t="shared" si="4"/>
        <v>37</v>
      </c>
      <c r="U43" s="5" t="str">
        <f t="shared" si="5"/>
        <v>2023-24</v>
      </c>
    </row>
    <row r="44" spans="1:21" x14ac:dyDescent="0.2">
      <c r="A44" s="8">
        <v>45187</v>
      </c>
      <c r="B44" s="6">
        <v>6</v>
      </c>
      <c r="C44" s="6">
        <v>2</v>
      </c>
      <c r="D44" s="6">
        <v>1</v>
      </c>
      <c r="E44" s="6">
        <v>2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5">
        <f t="shared" si="0"/>
        <v>0</v>
      </c>
      <c r="N44" s="6"/>
      <c r="O44" s="6"/>
      <c r="P44" s="10" t="str">
        <f t="shared" si="1"/>
        <v/>
      </c>
      <c r="Q44" s="7" t="s">
        <v>59</v>
      </c>
      <c r="R44" s="11">
        <f t="shared" si="2"/>
        <v>45192</v>
      </c>
      <c r="S44" s="5">
        <f t="shared" si="3"/>
        <v>2023</v>
      </c>
      <c r="T44" s="5">
        <f t="shared" si="4"/>
        <v>38</v>
      </c>
      <c r="U44" s="5" t="str">
        <f t="shared" si="5"/>
        <v>2023-24</v>
      </c>
    </row>
    <row r="45" spans="1:21" x14ac:dyDescent="0.2">
      <c r="A45" s="8">
        <v>45194</v>
      </c>
      <c r="B45" s="6">
        <v>5</v>
      </c>
      <c r="C45" s="6">
        <v>0</v>
      </c>
      <c r="D45" s="6">
        <v>0</v>
      </c>
      <c r="E45" s="6">
        <v>0</v>
      </c>
      <c r="F45" s="6">
        <v>0</v>
      </c>
      <c r="G45" s="6">
        <v>1</v>
      </c>
      <c r="H45" s="6">
        <v>0</v>
      </c>
      <c r="I45" s="6">
        <v>0</v>
      </c>
      <c r="J45" s="6">
        <v>0</v>
      </c>
      <c r="K45" s="6">
        <v>1</v>
      </c>
      <c r="L45" s="6">
        <v>0</v>
      </c>
      <c r="M45" s="5">
        <f t="shared" si="0"/>
        <v>1</v>
      </c>
      <c r="N45" s="6"/>
      <c r="O45" s="6"/>
      <c r="P45" s="10">
        <f t="shared" si="1"/>
        <v>0</v>
      </c>
      <c r="Q45" s="7" t="s">
        <v>59</v>
      </c>
      <c r="R45" s="11">
        <f t="shared" si="2"/>
        <v>45199</v>
      </c>
      <c r="S45" s="5">
        <f t="shared" si="3"/>
        <v>2023</v>
      </c>
      <c r="T45" s="5">
        <f t="shared" si="4"/>
        <v>39</v>
      </c>
      <c r="U45" s="5" t="str">
        <f t="shared" si="5"/>
        <v>2023-24</v>
      </c>
    </row>
    <row r="46" spans="1:21" x14ac:dyDescent="0.2">
      <c r="A46" s="8">
        <v>45201</v>
      </c>
      <c r="B46" s="6">
        <v>1</v>
      </c>
      <c r="C46" s="6">
        <v>0</v>
      </c>
      <c r="D46" s="6">
        <v>0</v>
      </c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5">
        <f t="shared" si="0"/>
        <v>0</v>
      </c>
      <c r="N46" s="6"/>
      <c r="O46" s="6"/>
      <c r="P46" s="10" t="str">
        <f t="shared" si="1"/>
        <v/>
      </c>
      <c r="Q46" s="7" t="s">
        <v>59</v>
      </c>
      <c r="R46" s="11">
        <f t="shared" si="2"/>
        <v>45206</v>
      </c>
      <c r="S46" s="5">
        <f t="shared" si="3"/>
        <v>2023</v>
      </c>
      <c r="T46" s="5">
        <f t="shared" si="4"/>
        <v>40</v>
      </c>
      <c r="U46" s="5" t="str">
        <f t="shared" si="5"/>
        <v>2023-24</v>
      </c>
    </row>
    <row r="47" spans="1:21" x14ac:dyDescent="0.2">
      <c r="A47" s="8">
        <v>45208</v>
      </c>
      <c r="B47" s="6">
        <v>14</v>
      </c>
      <c r="C47" s="6">
        <v>0</v>
      </c>
      <c r="D47" s="6">
        <v>0</v>
      </c>
      <c r="E47" s="6">
        <v>0</v>
      </c>
      <c r="F47" s="6">
        <v>0</v>
      </c>
      <c r="G47" s="6">
        <v>0</v>
      </c>
      <c r="H47" s="6">
        <v>0</v>
      </c>
      <c r="I47" s="6">
        <v>1</v>
      </c>
      <c r="J47" s="6">
        <v>0</v>
      </c>
      <c r="K47" s="6">
        <v>0</v>
      </c>
      <c r="L47" s="6">
        <v>0</v>
      </c>
      <c r="M47" s="5">
        <f t="shared" si="0"/>
        <v>0</v>
      </c>
      <c r="N47" s="6"/>
      <c r="O47" s="6"/>
      <c r="P47" s="10" t="str">
        <f t="shared" si="1"/>
        <v/>
      </c>
      <c r="Q47" s="7" t="s">
        <v>59</v>
      </c>
      <c r="R47" s="11">
        <f t="shared" si="2"/>
        <v>45213</v>
      </c>
      <c r="S47" s="5">
        <f t="shared" si="3"/>
        <v>2023</v>
      </c>
      <c r="T47" s="5">
        <f t="shared" si="4"/>
        <v>41</v>
      </c>
      <c r="U47" s="5" t="str">
        <f t="shared" si="5"/>
        <v>2023-24</v>
      </c>
    </row>
    <row r="48" spans="1:21" x14ac:dyDescent="0.2">
      <c r="A48" s="8">
        <v>45215</v>
      </c>
      <c r="B48" s="6">
        <v>7</v>
      </c>
      <c r="C48" s="6">
        <v>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5">
        <f t="shared" si="0"/>
        <v>0</v>
      </c>
      <c r="N48" s="6"/>
      <c r="O48" s="6"/>
      <c r="P48" s="10" t="str">
        <f t="shared" si="1"/>
        <v/>
      </c>
      <c r="Q48" s="7" t="s">
        <v>59</v>
      </c>
      <c r="R48" s="11">
        <f t="shared" si="2"/>
        <v>45220</v>
      </c>
      <c r="S48" s="5">
        <f t="shared" si="3"/>
        <v>2023</v>
      </c>
      <c r="T48" s="5">
        <f t="shared" si="4"/>
        <v>42</v>
      </c>
      <c r="U48" s="5" t="str">
        <f t="shared" si="5"/>
        <v>2023-24</v>
      </c>
    </row>
    <row r="49" spans="1:21" x14ac:dyDescent="0.2">
      <c r="A49" s="8">
        <v>45222</v>
      </c>
      <c r="B49" s="6">
        <v>0</v>
      </c>
      <c r="C49" s="6">
        <v>0</v>
      </c>
      <c r="D49" s="6">
        <v>0</v>
      </c>
      <c r="E49" s="6">
        <v>0</v>
      </c>
      <c r="F49" s="6">
        <v>0</v>
      </c>
      <c r="G49" s="6">
        <v>2</v>
      </c>
      <c r="H49" s="6">
        <v>0</v>
      </c>
      <c r="I49" s="6">
        <v>1</v>
      </c>
      <c r="J49" s="6">
        <v>0</v>
      </c>
      <c r="K49" s="6">
        <v>0</v>
      </c>
      <c r="L49" s="6">
        <v>2</v>
      </c>
      <c r="M49" s="5">
        <f t="shared" si="0"/>
        <v>2</v>
      </c>
      <c r="N49" s="6"/>
      <c r="O49" s="6"/>
      <c r="P49" s="10">
        <f t="shared" si="1"/>
        <v>0</v>
      </c>
      <c r="Q49" s="7" t="s">
        <v>59</v>
      </c>
      <c r="R49" s="11">
        <f t="shared" si="2"/>
        <v>45227</v>
      </c>
      <c r="S49" s="5">
        <f t="shared" si="3"/>
        <v>2023</v>
      </c>
      <c r="T49" s="5">
        <f t="shared" si="4"/>
        <v>43</v>
      </c>
      <c r="U49" s="5" t="str">
        <f t="shared" si="5"/>
        <v>2023-24</v>
      </c>
    </row>
    <row r="50" spans="1:21" x14ac:dyDescent="0.2">
      <c r="A50" s="8">
        <v>45229</v>
      </c>
      <c r="B50" s="6">
        <v>13</v>
      </c>
      <c r="C50" s="6">
        <v>0</v>
      </c>
      <c r="D50" s="6">
        <v>1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5">
        <f t="shared" si="0"/>
        <v>0</v>
      </c>
      <c r="N50" s="6"/>
      <c r="O50" s="6"/>
      <c r="P50" s="10" t="str">
        <f t="shared" si="1"/>
        <v/>
      </c>
      <c r="Q50" s="7" t="s">
        <v>59</v>
      </c>
      <c r="R50" s="11">
        <f t="shared" si="2"/>
        <v>45234</v>
      </c>
      <c r="S50" s="5">
        <f t="shared" si="3"/>
        <v>2023</v>
      </c>
      <c r="T50" s="5">
        <f t="shared" si="4"/>
        <v>44</v>
      </c>
      <c r="U50" s="5" t="str">
        <f t="shared" si="5"/>
        <v>2023-24</v>
      </c>
    </row>
    <row r="51" spans="1:21" x14ac:dyDescent="0.2">
      <c r="A51" s="8">
        <v>45236</v>
      </c>
      <c r="B51" s="6">
        <v>6</v>
      </c>
      <c r="C51" s="6">
        <v>0</v>
      </c>
      <c r="D51" s="6">
        <v>1</v>
      </c>
      <c r="E51" s="6">
        <v>0</v>
      </c>
      <c r="F51" s="6">
        <v>0</v>
      </c>
      <c r="G51" s="6">
        <v>0</v>
      </c>
      <c r="H51" s="6">
        <v>0</v>
      </c>
      <c r="I51" s="6">
        <v>1</v>
      </c>
      <c r="J51" s="6">
        <v>1</v>
      </c>
      <c r="K51" s="6">
        <v>0</v>
      </c>
      <c r="L51" s="6">
        <v>0</v>
      </c>
      <c r="M51" s="5">
        <f t="shared" si="0"/>
        <v>0</v>
      </c>
      <c r="N51" s="6"/>
      <c r="O51" s="6"/>
      <c r="P51" s="10" t="str">
        <f t="shared" si="1"/>
        <v/>
      </c>
      <c r="Q51" s="7" t="s">
        <v>59</v>
      </c>
      <c r="R51" s="11">
        <f t="shared" si="2"/>
        <v>45241</v>
      </c>
      <c r="S51" s="5">
        <f t="shared" si="3"/>
        <v>2023</v>
      </c>
      <c r="T51" s="5">
        <f t="shared" si="4"/>
        <v>45</v>
      </c>
      <c r="U51" s="5" t="str">
        <f t="shared" si="5"/>
        <v>2023-24</v>
      </c>
    </row>
    <row r="52" spans="1:21" x14ac:dyDescent="0.2">
      <c r="A52" s="8">
        <v>45243</v>
      </c>
      <c r="B52" s="6">
        <v>0</v>
      </c>
      <c r="C52" s="6">
        <v>4</v>
      </c>
      <c r="D52" s="6">
        <v>0</v>
      </c>
      <c r="E52" s="6">
        <v>0</v>
      </c>
      <c r="F52" s="6">
        <v>0</v>
      </c>
      <c r="G52" s="6">
        <v>4</v>
      </c>
      <c r="H52" s="6">
        <v>3</v>
      </c>
      <c r="I52" s="6">
        <v>1</v>
      </c>
      <c r="J52" s="6">
        <v>0</v>
      </c>
      <c r="K52" s="6">
        <v>4</v>
      </c>
      <c r="L52" s="6">
        <v>0</v>
      </c>
      <c r="M52" s="5">
        <f t="shared" si="0"/>
        <v>4</v>
      </c>
      <c r="N52" s="6"/>
      <c r="O52" s="6"/>
      <c r="P52" s="10">
        <f t="shared" si="1"/>
        <v>0</v>
      </c>
      <c r="Q52" s="7" t="s">
        <v>59</v>
      </c>
      <c r="R52" s="11">
        <f t="shared" si="2"/>
        <v>45248</v>
      </c>
      <c r="S52" s="5">
        <f t="shared" si="3"/>
        <v>2023</v>
      </c>
      <c r="T52" s="5">
        <f t="shared" si="4"/>
        <v>46</v>
      </c>
      <c r="U52" s="5" t="str">
        <f t="shared" si="5"/>
        <v>2023-24</v>
      </c>
    </row>
    <row r="53" spans="1:21" x14ac:dyDescent="0.2">
      <c r="A53" s="8">
        <v>45250</v>
      </c>
      <c r="B53" s="6">
        <v>2</v>
      </c>
      <c r="C53" s="6">
        <v>2</v>
      </c>
      <c r="D53" s="6">
        <v>3</v>
      </c>
      <c r="E53" s="6">
        <v>0</v>
      </c>
      <c r="F53" s="6">
        <v>0</v>
      </c>
      <c r="G53" s="6">
        <v>3</v>
      </c>
      <c r="H53" s="6">
        <v>2</v>
      </c>
      <c r="I53" s="6">
        <v>6</v>
      </c>
      <c r="J53" s="6">
        <v>1</v>
      </c>
      <c r="K53" s="6">
        <v>3</v>
      </c>
      <c r="L53" s="6">
        <v>0</v>
      </c>
      <c r="M53" s="5">
        <f t="shared" si="0"/>
        <v>3</v>
      </c>
      <c r="N53" s="6"/>
      <c r="O53" s="6"/>
      <c r="P53" s="10">
        <f t="shared" si="1"/>
        <v>0</v>
      </c>
      <c r="Q53" s="7" t="s">
        <v>59</v>
      </c>
      <c r="R53" s="11">
        <f t="shared" si="2"/>
        <v>45255</v>
      </c>
      <c r="S53" s="5">
        <f t="shared" si="3"/>
        <v>2023</v>
      </c>
      <c r="T53" s="5">
        <f t="shared" si="4"/>
        <v>47</v>
      </c>
      <c r="U53" s="5" t="str">
        <f t="shared" si="5"/>
        <v>2023-24</v>
      </c>
    </row>
    <row r="54" spans="1:21" x14ac:dyDescent="0.2">
      <c r="A54" s="8">
        <v>45257</v>
      </c>
      <c r="B54" s="6">
        <v>9</v>
      </c>
      <c r="C54" s="6">
        <v>4</v>
      </c>
      <c r="D54" s="6">
        <v>0</v>
      </c>
      <c r="E54" s="6">
        <v>0</v>
      </c>
      <c r="F54" s="6">
        <v>0</v>
      </c>
      <c r="G54" s="6">
        <v>4</v>
      </c>
      <c r="H54" s="6">
        <v>2</v>
      </c>
      <c r="I54" s="6">
        <v>1</v>
      </c>
      <c r="J54" s="6">
        <v>1</v>
      </c>
      <c r="K54" s="6">
        <v>4</v>
      </c>
      <c r="L54" s="6">
        <v>0</v>
      </c>
      <c r="M54" s="5">
        <f t="shared" si="0"/>
        <v>4</v>
      </c>
      <c r="N54" s="6"/>
      <c r="O54" s="6"/>
      <c r="P54" s="10">
        <f t="shared" si="1"/>
        <v>0</v>
      </c>
      <c r="Q54" s="7" t="s">
        <v>59</v>
      </c>
      <c r="R54" s="11">
        <f t="shared" si="2"/>
        <v>45262</v>
      </c>
      <c r="S54" s="5">
        <f t="shared" si="3"/>
        <v>2023</v>
      </c>
      <c r="T54" s="5">
        <f t="shared" si="4"/>
        <v>48</v>
      </c>
      <c r="U54" s="5" t="str">
        <f t="shared" si="5"/>
        <v>2023-24</v>
      </c>
    </row>
    <row r="55" spans="1:21" x14ac:dyDescent="0.2">
      <c r="A55" s="8">
        <v>45264</v>
      </c>
      <c r="B55" s="6">
        <v>4</v>
      </c>
      <c r="C55" s="6">
        <v>1</v>
      </c>
      <c r="D55" s="6">
        <v>1</v>
      </c>
      <c r="E55" s="6">
        <v>0</v>
      </c>
      <c r="F55" s="6">
        <v>0</v>
      </c>
      <c r="G55" s="6">
        <v>0</v>
      </c>
      <c r="H55" s="6">
        <v>0</v>
      </c>
      <c r="I55" s="6">
        <v>1</v>
      </c>
      <c r="J55" s="6">
        <v>1</v>
      </c>
      <c r="K55" s="6">
        <v>0</v>
      </c>
      <c r="L55" s="6">
        <v>0</v>
      </c>
      <c r="M55" s="5">
        <f t="shared" si="0"/>
        <v>0</v>
      </c>
      <c r="N55" s="6"/>
      <c r="O55" s="6"/>
      <c r="P55" s="10" t="str">
        <f t="shared" si="1"/>
        <v/>
      </c>
      <c r="Q55" s="7" t="s">
        <v>59</v>
      </c>
      <c r="R55" s="11">
        <f t="shared" si="2"/>
        <v>45269</v>
      </c>
      <c r="S55" s="5">
        <f t="shared" si="3"/>
        <v>2023</v>
      </c>
      <c r="T55" s="5">
        <f t="shared" si="4"/>
        <v>49</v>
      </c>
      <c r="U55" s="5" t="str">
        <f t="shared" si="5"/>
        <v>2023-24</v>
      </c>
    </row>
    <row r="56" spans="1:21" x14ac:dyDescent="0.2">
      <c r="A56" s="8">
        <v>45271</v>
      </c>
      <c r="B56" s="6">
        <v>5</v>
      </c>
      <c r="C56" s="6">
        <v>2</v>
      </c>
      <c r="D56" s="6">
        <v>6</v>
      </c>
      <c r="E56" s="6">
        <v>0</v>
      </c>
      <c r="F56" s="6">
        <v>0</v>
      </c>
      <c r="G56" s="6">
        <v>7</v>
      </c>
      <c r="H56" s="6">
        <v>1</v>
      </c>
      <c r="I56" s="6">
        <v>7</v>
      </c>
      <c r="J56" s="6">
        <v>2</v>
      </c>
      <c r="K56" s="6">
        <v>7</v>
      </c>
      <c r="L56" s="6">
        <v>0</v>
      </c>
      <c r="M56" s="5">
        <f t="shared" si="0"/>
        <v>7</v>
      </c>
      <c r="N56" s="6"/>
      <c r="O56" s="6"/>
      <c r="P56" s="10">
        <f t="shared" si="1"/>
        <v>0</v>
      </c>
      <c r="Q56" s="7" t="s">
        <v>59</v>
      </c>
      <c r="R56" s="11">
        <f t="shared" si="2"/>
        <v>45276</v>
      </c>
      <c r="S56" s="5">
        <f t="shared" si="3"/>
        <v>2023</v>
      </c>
      <c r="T56" s="5">
        <f t="shared" si="4"/>
        <v>50</v>
      </c>
      <c r="U56" s="5" t="str">
        <f t="shared" si="5"/>
        <v>2023-24</v>
      </c>
    </row>
    <row r="57" spans="1:21" x14ac:dyDescent="0.2">
      <c r="A57" s="8">
        <v>45278</v>
      </c>
      <c r="B57" s="6">
        <v>6</v>
      </c>
      <c r="C57" s="6">
        <v>19</v>
      </c>
      <c r="D57" s="6">
        <v>6</v>
      </c>
      <c r="E57" s="6">
        <v>0</v>
      </c>
      <c r="F57" s="6">
        <v>0</v>
      </c>
      <c r="G57" s="6">
        <v>31</v>
      </c>
      <c r="H57" s="6">
        <v>18</v>
      </c>
      <c r="I57" s="6">
        <v>6</v>
      </c>
      <c r="J57" s="6">
        <v>2</v>
      </c>
      <c r="K57" s="6">
        <v>30</v>
      </c>
      <c r="L57" s="6">
        <v>1</v>
      </c>
      <c r="M57" s="5">
        <f t="shared" si="0"/>
        <v>31</v>
      </c>
      <c r="N57" s="6"/>
      <c r="O57" s="6"/>
      <c r="P57" s="10">
        <f t="shared" si="1"/>
        <v>0</v>
      </c>
      <c r="Q57" s="7" t="s">
        <v>59</v>
      </c>
      <c r="R57" s="11">
        <f t="shared" si="2"/>
        <v>45283</v>
      </c>
      <c r="S57" s="5">
        <f t="shared" si="3"/>
        <v>2023</v>
      </c>
      <c r="T57" s="5">
        <f t="shared" si="4"/>
        <v>51</v>
      </c>
      <c r="U57" s="5" t="str">
        <f t="shared" si="5"/>
        <v>2023-24</v>
      </c>
    </row>
    <row r="58" spans="1:21" x14ac:dyDescent="0.2">
      <c r="A58" s="8">
        <v>45285</v>
      </c>
      <c r="B58" s="6">
        <v>10</v>
      </c>
      <c r="C58" s="6">
        <v>13</v>
      </c>
      <c r="D58" s="6">
        <v>5</v>
      </c>
      <c r="E58" s="6">
        <v>2</v>
      </c>
      <c r="F58" s="6">
        <v>2</v>
      </c>
      <c r="G58" s="6">
        <v>17</v>
      </c>
      <c r="H58" s="6">
        <v>11</v>
      </c>
      <c r="I58" s="6">
        <v>8</v>
      </c>
      <c r="J58" s="6">
        <v>5</v>
      </c>
      <c r="K58" s="6">
        <v>16</v>
      </c>
      <c r="L58" s="6">
        <v>1</v>
      </c>
      <c r="M58" s="5">
        <f t="shared" si="0"/>
        <v>17</v>
      </c>
      <c r="N58" s="6"/>
      <c r="O58" s="6"/>
      <c r="P58" s="10">
        <f t="shared" si="1"/>
        <v>0</v>
      </c>
      <c r="Q58" s="7" t="s">
        <v>59</v>
      </c>
      <c r="R58" s="11">
        <f t="shared" si="2"/>
        <v>45290</v>
      </c>
      <c r="S58" s="5">
        <f t="shared" si="3"/>
        <v>2023</v>
      </c>
      <c r="T58" s="5">
        <f t="shared" si="4"/>
        <v>52</v>
      </c>
      <c r="U58" s="5" t="str">
        <f t="shared" si="5"/>
        <v>2023-24</v>
      </c>
    </row>
    <row r="59" spans="1:21" x14ac:dyDescent="0.2">
      <c r="A59" s="8">
        <v>45292</v>
      </c>
      <c r="B59" s="6">
        <v>12</v>
      </c>
      <c r="C59" s="6">
        <v>24</v>
      </c>
      <c r="D59" s="6">
        <v>4</v>
      </c>
      <c r="E59" s="6">
        <v>1</v>
      </c>
      <c r="F59" s="6">
        <v>0</v>
      </c>
      <c r="G59" s="6">
        <v>22</v>
      </c>
      <c r="H59" s="6">
        <v>17</v>
      </c>
      <c r="I59" s="6">
        <v>5</v>
      </c>
      <c r="J59" s="6">
        <v>3</v>
      </c>
      <c r="K59" s="6">
        <v>20</v>
      </c>
      <c r="L59" s="6">
        <v>2</v>
      </c>
      <c r="M59" s="5">
        <f t="shared" si="0"/>
        <v>22</v>
      </c>
      <c r="N59" s="6"/>
      <c r="O59" s="6"/>
      <c r="P59" s="10">
        <f t="shared" si="1"/>
        <v>0</v>
      </c>
      <c r="Q59" s="7" t="s">
        <v>59</v>
      </c>
      <c r="R59" s="11">
        <f t="shared" si="2"/>
        <v>45297</v>
      </c>
      <c r="S59" s="5">
        <f t="shared" si="3"/>
        <v>2024</v>
      </c>
      <c r="T59" s="5">
        <f t="shared" si="4"/>
        <v>1</v>
      </c>
      <c r="U59" s="5" t="str">
        <f t="shared" si="5"/>
        <v>2023-24</v>
      </c>
    </row>
    <row r="60" spans="1:21" x14ac:dyDescent="0.2">
      <c r="A60" s="8">
        <v>45299</v>
      </c>
      <c r="B60" s="6">
        <v>8</v>
      </c>
      <c r="C60" s="6">
        <v>7</v>
      </c>
      <c r="D60" s="6">
        <v>10</v>
      </c>
      <c r="E60" s="6">
        <v>0</v>
      </c>
      <c r="F60" s="6">
        <v>0</v>
      </c>
      <c r="G60" s="6">
        <v>10</v>
      </c>
      <c r="H60" s="6">
        <v>7</v>
      </c>
      <c r="I60" s="6">
        <v>10</v>
      </c>
      <c r="J60" s="6">
        <v>9</v>
      </c>
      <c r="K60" s="6">
        <v>10</v>
      </c>
      <c r="L60" s="6">
        <v>0</v>
      </c>
      <c r="M60" s="5">
        <f t="shared" si="0"/>
        <v>10</v>
      </c>
      <c r="N60" s="6"/>
      <c r="O60" s="6"/>
      <c r="P60" s="10">
        <f t="shared" si="1"/>
        <v>0</v>
      </c>
      <c r="Q60" s="7" t="s">
        <v>59</v>
      </c>
      <c r="R60" s="11">
        <f t="shared" si="2"/>
        <v>45304</v>
      </c>
      <c r="S60" s="5">
        <f t="shared" si="3"/>
        <v>2024</v>
      </c>
      <c r="T60" s="5">
        <f t="shared" si="4"/>
        <v>2</v>
      </c>
      <c r="U60" s="5" t="str">
        <f t="shared" si="5"/>
        <v>2023-24</v>
      </c>
    </row>
    <row r="61" spans="1:21" x14ac:dyDescent="0.2">
      <c r="A61" s="8">
        <v>45306</v>
      </c>
      <c r="B61" s="6">
        <v>5</v>
      </c>
      <c r="C61" s="6">
        <v>13</v>
      </c>
      <c r="D61" s="6">
        <v>10</v>
      </c>
      <c r="E61" s="6">
        <v>0</v>
      </c>
      <c r="F61" s="6">
        <v>0</v>
      </c>
      <c r="G61" s="6">
        <v>12</v>
      </c>
      <c r="H61" s="6">
        <v>12</v>
      </c>
      <c r="I61" s="6">
        <v>10</v>
      </c>
      <c r="J61" s="6">
        <v>9</v>
      </c>
      <c r="K61" s="6">
        <v>10</v>
      </c>
      <c r="L61" s="6">
        <v>2</v>
      </c>
      <c r="M61" s="5">
        <f t="shared" si="0"/>
        <v>12</v>
      </c>
      <c r="N61" s="6"/>
      <c r="O61" s="6"/>
      <c r="P61" s="10">
        <f t="shared" si="1"/>
        <v>0</v>
      </c>
      <c r="Q61" s="7" t="s">
        <v>59</v>
      </c>
      <c r="R61" s="11">
        <f t="shared" si="2"/>
        <v>45311</v>
      </c>
      <c r="S61" s="5">
        <f t="shared" si="3"/>
        <v>2024</v>
      </c>
      <c r="T61" s="5">
        <f t="shared" si="4"/>
        <v>3</v>
      </c>
      <c r="U61" s="5" t="str">
        <f t="shared" si="5"/>
        <v>2023-24</v>
      </c>
    </row>
    <row r="62" spans="1:21" x14ac:dyDescent="0.2">
      <c r="A62" s="8">
        <v>45313</v>
      </c>
      <c r="B62" s="6">
        <v>5</v>
      </c>
      <c r="C62" s="6">
        <v>6</v>
      </c>
      <c r="D62" s="6">
        <v>5</v>
      </c>
      <c r="E62" s="6">
        <v>0</v>
      </c>
      <c r="F62" s="6">
        <v>0</v>
      </c>
      <c r="G62" s="6">
        <v>8</v>
      </c>
      <c r="H62" s="6">
        <v>7</v>
      </c>
      <c r="I62" s="6">
        <v>5</v>
      </c>
      <c r="J62" s="6">
        <v>4</v>
      </c>
      <c r="K62" s="6">
        <v>8</v>
      </c>
      <c r="L62" s="6">
        <v>0</v>
      </c>
      <c r="M62" s="5">
        <f t="shared" si="0"/>
        <v>8</v>
      </c>
      <c r="N62" s="6"/>
      <c r="O62" s="6"/>
      <c r="P62" s="10">
        <f t="shared" si="1"/>
        <v>0</v>
      </c>
      <c r="Q62" s="7" t="s">
        <v>59</v>
      </c>
      <c r="R62" s="11">
        <f t="shared" si="2"/>
        <v>45318</v>
      </c>
      <c r="S62" s="5">
        <f t="shared" si="3"/>
        <v>2024</v>
      </c>
      <c r="T62" s="5">
        <f t="shared" si="4"/>
        <v>4</v>
      </c>
      <c r="U62" s="5" t="str">
        <f t="shared" si="5"/>
        <v>2023-24</v>
      </c>
    </row>
    <row r="63" spans="1:21" x14ac:dyDescent="0.2">
      <c r="A63" s="8">
        <v>45320</v>
      </c>
      <c r="B63" s="6">
        <v>5</v>
      </c>
      <c r="C63" s="6">
        <v>12</v>
      </c>
      <c r="D63" s="6">
        <v>4</v>
      </c>
      <c r="E63" s="6">
        <v>0</v>
      </c>
      <c r="F63" s="6">
        <v>0</v>
      </c>
      <c r="G63" s="6">
        <v>12</v>
      </c>
      <c r="H63" s="6">
        <v>12</v>
      </c>
      <c r="I63" s="6">
        <v>5</v>
      </c>
      <c r="J63" s="6">
        <v>4</v>
      </c>
      <c r="K63" s="6">
        <v>10</v>
      </c>
      <c r="L63" s="6">
        <v>2</v>
      </c>
      <c r="M63" s="5">
        <f t="shared" si="0"/>
        <v>12</v>
      </c>
      <c r="N63" s="6"/>
      <c r="O63" s="6"/>
      <c r="P63" s="10">
        <f t="shared" si="1"/>
        <v>0</v>
      </c>
      <c r="Q63" s="7" t="s">
        <v>59</v>
      </c>
      <c r="R63" s="11">
        <f t="shared" si="2"/>
        <v>45325</v>
      </c>
      <c r="S63" s="5">
        <f t="shared" si="3"/>
        <v>2024</v>
      </c>
      <c r="T63" s="5">
        <f t="shared" si="4"/>
        <v>5</v>
      </c>
      <c r="U63" s="5" t="str">
        <f t="shared" si="5"/>
        <v>2023-24</v>
      </c>
    </row>
    <row r="64" spans="1:21" x14ac:dyDescent="0.2">
      <c r="A64" s="8">
        <v>45327</v>
      </c>
      <c r="B64" s="6">
        <v>1</v>
      </c>
      <c r="C64" s="6">
        <v>8</v>
      </c>
      <c r="D64" s="6">
        <v>5</v>
      </c>
      <c r="E64" s="6">
        <v>0</v>
      </c>
      <c r="F64" s="6">
        <v>0</v>
      </c>
      <c r="G64" s="6">
        <v>10</v>
      </c>
      <c r="H64" s="6">
        <v>8</v>
      </c>
      <c r="I64" s="6">
        <v>4</v>
      </c>
      <c r="J64" s="6">
        <v>4</v>
      </c>
      <c r="K64" s="6">
        <v>5</v>
      </c>
      <c r="L64" s="6">
        <v>5</v>
      </c>
      <c r="M64" s="5">
        <f t="shared" si="0"/>
        <v>10</v>
      </c>
      <c r="N64" s="6"/>
      <c r="O64" s="6"/>
      <c r="P64" s="10">
        <f t="shared" si="1"/>
        <v>0</v>
      </c>
      <c r="Q64" s="7" t="s">
        <v>59</v>
      </c>
      <c r="R64" s="11">
        <f t="shared" si="2"/>
        <v>45332</v>
      </c>
      <c r="S64" s="5">
        <f t="shared" si="3"/>
        <v>2024</v>
      </c>
      <c r="T64" s="5">
        <f t="shared" si="4"/>
        <v>6</v>
      </c>
      <c r="U64" s="5" t="str">
        <f t="shared" si="5"/>
        <v>2023-24</v>
      </c>
    </row>
    <row r="65" spans="1:21" x14ac:dyDescent="0.2">
      <c r="A65" s="8">
        <v>45334</v>
      </c>
      <c r="B65" s="6">
        <v>5</v>
      </c>
      <c r="C65" s="6">
        <v>6</v>
      </c>
      <c r="D65" s="6">
        <v>1</v>
      </c>
      <c r="E65" s="6">
        <v>0</v>
      </c>
      <c r="F65" s="6">
        <v>0</v>
      </c>
      <c r="G65" s="6">
        <v>9</v>
      </c>
      <c r="H65" s="6">
        <v>6</v>
      </c>
      <c r="I65" s="6">
        <v>1</v>
      </c>
      <c r="J65" s="6">
        <v>1</v>
      </c>
      <c r="K65" s="6">
        <v>6</v>
      </c>
      <c r="L65" s="6">
        <v>3</v>
      </c>
      <c r="M65" s="5">
        <f t="shared" si="0"/>
        <v>9</v>
      </c>
      <c r="N65" s="6"/>
      <c r="O65" s="6"/>
      <c r="P65" s="10">
        <f t="shared" si="1"/>
        <v>0</v>
      </c>
      <c r="Q65" s="7" t="s">
        <v>59</v>
      </c>
      <c r="R65" s="11">
        <f t="shared" si="2"/>
        <v>45339</v>
      </c>
      <c r="S65" s="5">
        <f t="shared" si="3"/>
        <v>2024</v>
      </c>
      <c r="T65" s="5">
        <f t="shared" si="4"/>
        <v>7</v>
      </c>
      <c r="U65" s="5" t="str">
        <f t="shared" si="5"/>
        <v>2023-24</v>
      </c>
    </row>
    <row r="66" spans="1:21" x14ac:dyDescent="0.2">
      <c r="A66" s="8">
        <v>45341</v>
      </c>
      <c r="B66" s="6">
        <v>3</v>
      </c>
      <c r="C66" s="6">
        <v>9</v>
      </c>
      <c r="D66" s="6">
        <v>1</v>
      </c>
      <c r="E66" s="6">
        <v>0</v>
      </c>
      <c r="F66" s="6">
        <v>0</v>
      </c>
      <c r="G66" s="6">
        <v>10</v>
      </c>
      <c r="H66" s="6">
        <v>8</v>
      </c>
      <c r="I66" s="6">
        <v>2</v>
      </c>
      <c r="J66" s="6">
        <v>1</v>
      </c>
      <c r="K66" s="6">
        <v>8</v>
      </c>
      <c r="L66" s="6">
        <v>2</v>
      </c>
      <c r="M66" s="5">
        <f t="shared" ref="M66:M129" si="6">IF(AND(K66="",L66=""),"",SUM(K66:L66))</f>
        <v>10</v>
      </c>
      <c r="N66" s="6"/>
      <c r="O66" s="6"/>
      <c r="P66" s="10">
        <f t="shared" ref="P66:P129" si="7">IF(OR(M66="",M66=0),"",IF(N66="",0,N66)/M66)</f>
        <v>0</v>
      </c>
      <c r="Q66" s="7" t="s">
        <v>59</v>
      </c>
      <c r="R66" s="11">
        <f t="shared" ref="R66:R129" si="8">A66+5</f>
        <v>45346</v>
      </c>
      <c r="S66" s="5">
        <f t="shared" ref="S66:S129" si="9">IF(R66&gt;=DATE(YEAR(R66)+1,1,4)-WEEKDAY(DATE(YEAR(R66)+1,1,4))+1,YEAR(R66)+1,IF(R66&lt;DATE(YEAR(R66),1,4)-WEEKDAY(DATE(YEAR(R66),1,4))+1,YEAR(R66)-1,YEAR(R66)))</f>
        <v>2024</v>
      </c>
      <c r="T66" s="5">
        <f t="shared" ref="T66:T129" si="10">INT((R66-(DATE(S66,1,4)-WEEKDAY(DATE(S66,1,4))+1))/7)+1</f>
        <v>8</v>
      </c>
      <c r="U66" s="5" t="str">
        <f t="shared" ref="U66:U129" si="11">IF(T66&gt;=36,S66&amp;"-"&amp;RIGHT(S66+1,2),(S66-1)&amp;"-"&amp;RIGHT(S66,2))</f>
        <v>2023-24</v>
      </c>
    </row>
    <row r="67" spans="1:21" x14ac:dyDescent="0.2">
      <c r="A67" s="8">
        <v>45348</v>
      </c>
      <c r="B67" s="6">
        <v>2</v>
      </c>
      <c r="C67" s="6">
        <v>5</v>
      </c>
      <c r="D67" s="6">
        <v>2</v>
      </c>
      <c r="E67" s="6">
        <v>2</v>
      </c>
      <c r="F67" s="6">
        <v>2</v>
      </c>
      <c r="G67" s="6">
        <v>6</v>
      </c>
      <c r="H67" s="6">
        <v>4</v>
      </c>
      <c r="I67" s="6">
        <v>2</v>
      </c>
      <c r="J67" s="6">
        <v>2</v>
      </c>
      <c r="K67" s="6">
        <v>4</v>
      </c>
      <c r="L67" s="6">
        <v>2</v>
      </c>
      <c r="M67" s="5">
        <f t="shared" si="6"/>
        <v>6</v>
      </c>
      <c r="N67" s="6"/>
      <c r="O67" s="6"/>
      <c r="P67" s="10">
        <f t="shared" si="7"/>
        <v>0</v>
      </c>
      <c r="Q67" s="7" t="s">
        <v>59</v>
      </c>
      <c r="R67" s="11">
        <f t="shared" si="8"/>
        <v>45353</v>
      </c>
      <c r="S67" s="5">
        <f t="shared" si="9"/>
        <v>2024</v>
      </c>
      <c r="T67" s="5">
        <f t="shared" si="10"/>
        <v>9</v>
      </c>
      <c r="U67" s="5" t="str">
        <f t="shared" si="11"/>
        <v>2023-24</v>
      </c>
    </row>
    <row r="68" spans="1:21" x14ac:dyDescent="0.2">
      <c r="A68" s="8">
        <v>45355</v>
      </c>
      <c r="B68" s="6">
        <v>0</v>
      </c>
      <c r="C68" s="6">
        <v>1</v>
      </c>
      <c r="D68" s="6">
        <v>0</v>
      </c>
      <c r="E68" s="6">
        <v>1</v>
      </c>
      <c r="F68" s="6">
        <v>1</v>
      </c>
      <c r="G68" s="6">
        <v>1</v>
      </c>
      <c r="H68" s="6">
        <v>1</v>
      </c>
      <c r="I68" s="6">
        <v>1</v>
      </c>
      <c r="J68" s="6">
        <v>0</v>
      </c>
      <c r="K68" s="6">
        <v>0</v>
      </c>
      <c r="L68" s="6">
        <v>1</v>
      </c>
      <c r="M68" s="5">
        <f t="shared" si="6"/>
        <v>1</v>
      </c>
      <c r="N68" s="6"/>
      <c r="O68" s="6"/>
      <c r="P68" s="10">
        <f t="shared" si="7"/>
        <v>0</v>
      </c>
      <c r="Q68" s="7" t="s">
        <v>59</v>
      </c>
      <c r="R68" s="11">
        <f t="shared" si="8"/>
        <v>45360</v>
      </c>
      <c r="S68" s="5">
        <f t="shared" si="9"/>
        <v>2024</v>
      </c>
      <c r="T68" s="5">
        <f t="shared" si="10"/>
        <v>10</v>
      </c>
      <c r="U68" s="5" t="str">
        <f t="shared" si="11"/>
        <v>2023-24</v>
      </c>
    </row>
    <row r="69" spans="1:21" x14ac:dyDescent="0.2">
      <c r="A69" s="8">
        <v>45362</v>
      </c>
      <c r="B69" s="6">
        <v>1</v>
      </c>
      <c r="C69" s="6">
        <v>6</v>
      </c>
      <c r="D69" s="6">
        <v>1</v>
      </c>
      <c r="E69" s="6">
        <v>1</v>
      </c>
      <c r="F69" s="6">
        <v>1</v>
      </c>
      <c r="G69" s="6">
        <v>5</v>
      </c>
      <c r="H69" s="6">
        <v>5</v>
      </c>
      <c r="I69" s="6">
        <v>0</v>
      </c>
      <c r="J69" s="6">
        <v>0</v>
      </c>
      <c r="K69" s="6">
        <v>3</v>
      </c>
      <c r="L69" s="6">
        <v>2</v>
      </c>
      <c r="M69" s="5">
        <f t="shared" si="6"/>
        <v>5</v>
      </c>
      <c r="N69" s="6"/>
      <c r="O69" s="6"/>
      <c r="P69" s="10">
        <f t="shared" si="7"/>
        <v>0</v>
      </c>
      <c r="Q69" s="7" t="s">
        <v>59</v>
      </c>
      <c r="R69" s="11">
        <f t="shared" si="8"/>
        <v>45367</v>
      </c>
      <c r="S69" s="5">
        <f t="shared" si="9"/>
        <v>2024</v>
      </c>
      <c r="T69" s="5">
        <f t="shared" si="10"/>
        <v>11</v>
      </c>
      <c r="U69" s="5" t="str">
        <f t="shared" si="11"/>
        <v>2023-24</v>
      </c>
    </row>
    <row r="70" spans="1:21" x14ac:dyDescent="0.2">
      <c r="A70" s="8">
        <v>45369</v>
      </c>
      <c r="B70" s="6">
        <v>1</v>
      </c>
      <c r="C70" s="6">
        <v>2</v>
      </c>
      <c r="D70" s="6">
        <v>2</v>
      </c>
      <c r="E70" s="6">
        <v>1</v>
      </c>
      <c r="F70" s="6">
        <v>0</v>
      </c>
      <c r="G70" s="6">
        <v>2</v>
      </c>
      <c r="H70" s="6">
        <v>1</v>
      </c>
      <c r="I70" s="6">
        <v>2</v>
      </c>
      <c r="J70" s="6">
        <v>2</v>
      </c>
      <c r="K70" s="6">
        <v>1</v>
      </c>
      <c r="L70" s="6">
        <v>1</v>
      </c>
      <c r="M70" s="5">
        <f t="shared" si="6"/>
        <v>2</v>
      </c>
      <c r="N70" s="6"/>
      <c r="O70" s="6"/>
      <c r="P70" s="10">
        <f t="shared" si="7"/>
        <v>0</v>
      </c>
      <c r="Q70" s="7" t="s">
        <v>59</v>
      </c>
      <c r="R70" s="11">
        <f t="shared" si="8"/>
        <v>45374</v>
      </c>
      <c r="S70" s="5">
        <f t="shared" si="9"/>
        <v>2024</v>
      </c>
      <c r="T70" s="5">
        <f t="shared" si="10"/>
        <v>12</v>
      </c>
      <c r="U70" s="5" t="str">
        <f t="shared" si="11"/>
        <v>2023-24</v>
      </c>
    </row>
    <row r="71" spans="1:21" x14ac:dyDescent="0.2">
      <c r="A71" s="8">
        <v>45376</v>
      </c>
      <c r="B71" s="6">
        <v>0</v>
      </c>
      <c r="C71" s="6">
        <v>2</v>
      </c>
      <c r="D71" s="6">
        <v>1</v>
      </c>
      <c r="E71" s="6">
        <v>0</v>
      </c>
      <c r="F71" s="6">
        <v>0</v>
      </c>
      <c r="G71" s="6">
        <v>3</v>
      </c>
      <c r="H71" s="6">
        <v>0</v>
      </c>
      <c r="I71" s="6">
        <v>1</v>
      </c>
      <c r="J71" s="6">
        <v>1</v>
      </c>
      <c r="K71" s="6">
        <v>2</v>
      </c>
      <c r="L71" s="6">
        <v>1</v>
      </c>
      <c r="M71" s="5">
        <f t="shared" si="6"/>
        <v>3</v>
      </c>
      <c r="N71" s="6"/>
      <c r="O71" s="6"/>
      <c r="P71" s="10">
        <f t="shared" si="7"/>
        <v>0</v>
      </c>
      <c r="Q71" s="7" t="s">
        <v>59</v>
      </c>
      <c r="R71" s="11">
        <f t="shared" si="8"/>
        <v>45381</v>
      </c>
      <c r="S71" s="5">
        <f t="shared" si="9"/>
        <v>2024</v>
      </c>
      <c r="T71" s="5">
        <f t="shared" si="10"/>
        <v>13</v>
      </c>
      <c r="U71" s="5" t="str">
        <f t="shared" si="11"/>
        <v>2023-24</v>
      </c>
    </row>
    <row r="72" spans="1:21" x14ac:dyDescent="0.2">
      <c r="A72" s="8">
        <v>45383</v>
      </c>
      <c r="B72" s="6">
        <v>1</v>
      </c>
      <c r="C72" s="6">
        <v>5</v>
      </c>
      <c r="D72" s="6">
        <v>1</v>
      </c>
      <c r="E72" s="6"/>
      <c r="F72" s="6"/>
      <c r="G72" s="6"/>
      <c r="H72" s="6"/>
      <c r="I72" s="6"/>
      <c r="J72" s="6"/>
      <c r="K72" s="6"/>
      <c r="L72" s="6"/>
      <c r="M72" s="5" t="str">
        <f t="shared" si="6"/>
        <v/>
      </c>
      <c r="N72" s="6"/>
      <c r="O72" s="6"/>
      <c r="P72" s="10" t="str">
        <f t="shared" si="7"/>
        <v/>
      </c>
      <c r="Q72" s="7"/>
      <c r="R72" s="11">
        <f t="shared" si="8"/>
        <v>45388</v>
      </c>
      <c r="S72" s="5">
        <f t="shared" si="9"/>
        <v>2024</v>
      </c>
      <c r="T72" s="5">
        <f t="shared" si="10"/>
        <v>14</v>
      </c>
      <c r="U72" s="5" t="str">
        <f t="shared" si="11"/>
        <v>2023-24</v>
      </c>
    </row>
    <row r="73" spans="1:21" x14ac:dyDescent="0.2">
      <c r="A73" s="8">
        <v>45390</v>
      </c>
      <c r="B73" s="6">
        <v>1</v>
      </c>
      <c r="C73" s="6">
        <v>5</v>
      </c>
      <c r="D73" s="6">
        <v>0</v>
      </c>
      <c r="E73" s="6"/>
      <c r="F73" s="6"/>
      <c r="G73" s="6"/>
      <c r="H73" s="6"/>
      <c r="I73" s="6"/>
      <c r="J73" s="6"/>
      <c r="K73" s="6"/>
      <c r="L73" s="6"/>
      <c r="M73" s="5" t="str">
        <f t="shared" si="6"/>
        <v/>
      </c>
      <c r="N73" s="6"/>
      <c r="O73" s="6"/>
      <c r="P73" s="10" t="str">
        <f t="shared" si="7"/>
        <v/>
      </c>
      <c r="Q73" s="7"/>
      <c r="R73" s="11">
        <f t="shared" si="8"/>
        <v>45395</v>
      </c>
      <c r="S73" s="5">
        <f t="shared" si="9"/>
        <v>2024</v>
      </c>
      <c r="T73" s="5">
        <f t="shared" si="10"/>
        <v>15</v>
      </c>
      <c r="U73" s="5" t="str">
        <f t="shared" si="11"/>
        <v>2023-24</v>
      </c>
    </row>
    <row r="74" spans="1:21" x14ac:dyDescent="0.2">
      <c r="A74" s="8">
        <v>45397</v>
      </c>
      <c r="B74" s="6">
        <v>1</v>
      </c>
      <c r="C74" s="6">
        <v>3</v>
      </c>
      <c r="D74" s="6">
        <v>0</v>
      </c>
      <c r="E74" s="6"/>
      <c r="F74" s="6"/>
      <c r="G74" s="6"/>
      <c r="H74" s="6"/>
      <c r="I74" s="6"/>
      <c r="J74" s="6"/>
      <c r="K74" s="6"/>
      <c r="L74" s="6"/>
      <c r="M74" s="5" t="str">
        <f t="shared" si="6"/>
        <v/>
      </c>
      <c r="N74" s="6"/>
      <c r="O74" s="6"/>
      <c r="P74" s="10" t="str">
        <f t="shared" si="7"/>
        <v/>
      </c>
      <c r="Q74" s="7"/>
      <c r="R74" s="11">
        <f t="shared" si="8"/>
        <v>45402</v>
      </c>
      <c r="S74" s="5">
        <f t="shared" si="9"/>
        <v>2024</v>
      </c>
      <c r="T74" s="5">
        <f t="shared" si="10"/>
        <v>16</v>
      </c>
      <c r="U74" s="5" t="str">
        <f t="shared" si="11"/>
        <v>2023-24</v>
      </c>
    </row>
    <row r="75" spans="1:21" x14ac:dyDescent="0.2">
      <c r="A75" s="8">
        <v>45404</v>
      </c>
      <c r="B75" s="6">
        <v>0</v>
      </c>
      <c r="C75" s="6">
        <v>1</v>
      </c>
      <c r="D75" s="6">
        <v>0</v>
      </c>
      <c r="E75" s="6"/>
      <c r="F75" s="6"/>
      <c r="G75" s="6"/>
      <c r="H75" s="6"/>
      <c r="I75" s="6"/>
      <c r="J75" s="6"/>
      <c r="K75" s="6"/>
      <c r="L75" s="6"/>
      <c r="M75" s="5" t="str">
        <f t="shared" si="6"/>
        <v/>
      </c>
      <c r="N75" s="6"/>
      <c r="O75" s="6"/>
      <c r="P75" s="10" t="str">
        <f t="shared" si="7"/>
        <v/>
      </c>
      <c r="Q75" s="7"/>
      <c r="R75" s="11">
        <f t="shared" si="8"/>
        <v>45409</v>
      </c>
      <c r="S75" s="5">
        <f t="shared" si="9"/>
        <v>2024</v>
      </c>
      <c r="T75" s="5">
        <f t="shared" si="10"/>
        <v>17</v>
      </c>
      <c r="U75" s="5" t="str">
        <f t="shared" si="11"/>
        <v>2023-24</v>
      </c>
    </row>
    <row r="76" spans="1:21" x14ac:dyDescent="0.2">
      <c r="A76" s="8">
        <v>45411</v>
      </c>
      <c r="B76" s="6">
        <v>0</v>
      </c>
      <c r="C76" s="6">
        <v>1</v>
      </c>
      <c r="D76" s="6">
        <v>0</v>
      </c>
      <c r="E76" s="6"/>
      <c r="F76" s="6"/>
      <c r="G76" s="6"/>
      <c r="H76" s="6"/>
      <c r="I76" s="6"/>
      <c r="J76" s="6"/>
      <c r="K76" s="6"/>
      <c r="L76" s="6"/>
      <c r="M76" s="5" t="str">
        <f t="shared" si="6"/>
        <v/>
      </c>
      <c r="N76" s="6"/>
      <c r="O76" s="6"/>
      <c r="P76" s="10" t="str">
        <f t="shared" si="7"/>
        <v/>
      </c>
      <c r="Q76" s="7"/>
      <c r="R76" s="11">
        <f t="shared" si="8"/>
        <v>45416</v>
      </c>
      <c r="S76" s="5">
        <f t="shared" si="9"/>
        <v>2024</v>
      </c>
      <c r="T76" s="5">
        <f t="shared" si="10"/>
        <v>18</v>
      </c>
      <c r="U76" s="5" t="str">
        <f t="shared" si="11"/>
        <v>2023-24</v>
      </c>
    </row>
    <row r="77" spans="1:21" x14ac:dyDescent="0.2">
      <c r="A77" s="8">
        <v>45418</v>
      </c>
      <c r="B77" s="6">
        <v>1</v>
      </c>
      <c r="C77" s="6">
        <v>0</v>
      </c>
      <c r="D77" s="6">
        <v>0</v>
      </c>
      <c r="E77" s="6"/>
      <c r="F77" s="6"/>
      <c r="G77" s="6"/>
      <c r="H77" s="6"/>
      <c r="I77" s="6"/>
      <c r="J77" s="6"/>
      <c r="K77" s="6"/>
      <c r="L77" s="6"/>
      <c r="M77" s="5" t="str">
        <f t="shared" si="6"/>
        <v/>
      </c>
      <c r="N77" s="6"/>
      <c r="O77" s="6"/>
      <c r="P77" s="10" t="str">
        <f t="shared" si="7"/>
        <v/>
      </c>
      <c r="Q77" s="7"/>
      <c r="R77" s="11">
        <f t="shared" si="8"/>
        <v>45423</v>
      </c>
      <c r="S77" s="5">
        <f t="shared" si="9"/>
        <v>2024</v>
      </c>
      <c r="T77" s="5">
        <f t="shared" si="10"/>
        <v>19</v>
      </c>
      <c r="U77" s="5" t="str">
        <f t="shared" si="11"/>
        <v>2023-24</v>
      </c>
    </row>
    <row r="78" spans="1:21" x14ac:dyDescent="0.2">
      <c r="A78" s="8">
        <v>45425</v>
      </c>
      <c r="B78" s="6">
        <v>0</v>
      </c>
      <c r="C78" s="6">
        <v>1</v>
      </c>
      <c r="D78" s="6">
        <v>0</v>
      </c>
      <c r="E78" s="6"/>
      <c r="F78" s="6"/>
      <c r="G78" s="6"/>
      <c r="H78" s="6"/>
      <c r="I78" s="6"/>
      <c r="J78" s="6"/>
      <c r="K78" s="6"/>
      <c r="L78" s="6"/>
      <c r="M78" s="5" t="str">
        <f t="shared" si="6"/>
        <v/>
      </c>
      <c r="N78" s="6"/>
      <c r="O78" s="6"/>
      <c r="P78" s="10" t="str">
        <f t="shared" si="7"/>
        <v/>
      </c>
      <c r="Q78" s="7"/>
      <c r="R78" s="11">
        <f t="shared" si="8"/>
        <v>45430</v>
      </c>
      <c r="S78" s="5">
        <f t="shared" si="9"/>
        <v>2024</v>
      </c>
      <c r="T78" s="5">
        <f t="shared" si="10"/>
        <v>20</v>
      </c>
      <c r="U78" s="5" t="str">
        <f t="shared" si="11"/>
        <v>2023-24</v>
      </c>
    </row>
    <row r="79" spans="1:21" x14ac:dyDescent="0.2">
      <c r="A79" s="8">
        <v>45432</v>
      </c>
      <c r="B79" s="6">
        <v>2</v>
      </c>
      <c r="C79" s="6">
        <v>1</v>
      </c>
      <c r="D79" s="6">
        <v>0</v>
      </c>
      <c r="E79" s="6"/>
      <c r="F79" s="6"/>
      <c r="G79" s="6"/>
      <c r="H79" s="6"/>
      <c r="I79" s="6"/>
      <c r="J79" s="6"/>
      <c r="K79" s="6"/>
      <c r="L79" s="6"/>
      <c r="M79" s="5" t="str">
        <f t="shared" si="6"/>
        <v/>
      </c>
      <c r="N79" s="6"/>
      <c r="O79" s="6"/>
      <c r="P79" s="10" t="str">
        <f t="shared" si="7"/>
        <v/>
      </c>
      <c r="Q79" s="7"/>
      <c r="R79" s="11">
        <f t="shared" si="8"/>
        <v>45437</v>
      </c>
      <c r="S79" s="5">
        <f t="shared" si="9"/>
        <v>2024</v>
      </c>
      <c r="T79" s="5">
        <f t="shared" si="10"/>
        <v>21</v>
      </c>
      <c r="U79" s="5" t="str">
        <f t="shared" si="11"/>
        <v>2023-24</v>
      </c>
    </row>
    <row r="80" spans="1:21" x14ac:dyDescent="0.2">
      <c r="A80" s="8">
        <v>45439</v>
      </c>
      <c r="B80" s="6">
        <v>1</v>
      </c>
      <c r="C80" s="6">
        <v>3</v>
      </c>
      <c r="D80" s="6">
        <v>0</v>
      </c>
      <c r="E80" s="6"/>
      <c r="F80" s="6"/>
      <c r="G80" s="6"/>
      <c r="H80" s="6"/>
      <c r="I80" s="6"/>
      <c r="J80" s="6"/>
      <c r="K80" s="6"/>
      <c r="L80" s="6"/>
      <c r="M80" s="5" t="str">
        <f t="shared" si="6"/>
        <v/>
      </c>
      <c r="N80" s="6"/>
      <c r="O80" s="6"/>
      <c r="P80" s="10" t="str">
        <f t="shared" si="7"/>
        <v/>
      </c>
      <c r="Q80" s="7"/>
      <c r="R80" s="11">
        <f t="shared" si="8"/>
        <v>45444</v>
      </c>
      <c r="S80" s="5">
        <f t="shared" si="9"/>
        <v>2024</v>
      </c>
      <c r="T80" s="5">
        <f t="shared" si="10"/>
        <v>22</v>
      </c>
      <c r="U80" s="5" t="str">
        <f t="shared" si="11"/>
        <v>2023-24</v>
      </c>
    </row>
    <row r="81" spans="1:21" x14ac:dyDescent="0.2">
      <c r="A81" s="8">
        <v>45446</v>
      </c>
      <c r="B81" s="6">
        <v>1</v>
      </c>
      <c r="C81" s="6">
        <v>3</v>
      </c>
      <c r="D81" s="6">
        <v>1</v>
      </c>
      <c r="E81" s="6"/>
      <c r="F81" s="6"/>
      <c r="G81" s="6"/>
      <c r="H81" s="6"/>
      <c r="I81" s="6"/>
      <c r="J81" s="6"/>
      <c r="K81" s="6"/>
      <c r="L81" s="6"/>
      <c r="M81" s="5" t="str">
        <f t="shared" si="6"/>
        <v/>
      </c>
      <c r="N81" s="6"/>
      <c r="O81" s="6"/>
      <c r="P81" s="10" t="str">
        <f t="shared" si="7"/>
        <v/>
      </c>
      <c r="Q81" s="7"/>
      <c r="R81" s="11">
        <f t="shared" si="8"/>
        <v>45451</v>
      </c>
      <c r="S81" s="5">
        <f t="shared" si="9"/>
        <v>2024</v>
      </c>
      <c r="T81" s="5">
        <f t="shared" si="10"/>
        <v>23</v>
      </c>
      <c r="U81" s="5" t="str">
        <f t="shared" si="11"/>
        <v>2023-24</v>
      </c>
    </row>
    <row r="82" spans="1:21" x14ac:dyDescent="0.2">
      <c r="A82" s="8">
        <v>45453</v>
      </c>
      <c r="B82" s="6">
        <v>2</v>
      </c>
      <c r="C82" s="6">
        <v>0</v>
      </c>
      <c r="D82" s="6">
        <v>0</v>
      </c>
      <c r="E82" s="6"/>
      <c r="F82" s="6"/>
      <c r="G82" s="6"/>
      <c r="H82" s="6"/>
      <c r="I82" s="6"/>
      <c r="J82" s="6"/>
      <c r="K82" s="6"/>
      <c r="L82" s="6"/>
      <c r="M82" s="5" t="str">
        <f t="shared" si="6"/>
        <v/>
      </c>
      <c r="N82" s="6"/>
      <c r="O82" s="6"/>
      <c r="P82" s="10" t="str">
        <f t="shared" si="7"/>
        <v/>
      </c>
      <c r="Q82" s="7"/>
      <c r="R82" s="11">
        <f t="shared" si="8"/>
        <v>45458</v>
      </c>
      <c r="S82" s="5">
        <f t="shared" si="9"/>
        <v>2024</v>
      </c>
      <c r="T82" s="5">
        <f t="shared" si="10"/>
        <v>24</v>
      </c>
      <c r="U82" s="5" t="str">
        <f t="shared" si="11"/>
        <v>2023-24</v>
      </c>
    </row>
    <row r="83" spans="1:21" x14ac:dyDescent="0.2">
      <c r="A83" s="8">
        <v>45460</v>
      </c>
      <c r="B83" s="6">
        <v>4</v>
      </c>
      <c r="C83" s="6">
        <v>0</v>
      </c>
      <c r="D83" s="6">
        <v>0</v>
      </c>
      <c r="E83" s="6"/>
      <c r="F83" s="6"/>
      <c r="G83" s="6"/>
      <c r="H83" s="6"/>
      <c r="I83" s="6"/>
      <c r="J83" s="6"/>
      <c r="K83" s="6"/>
      <c r="L83" s="6"/>
      <c r="M83" s="5" t="str">
        <f t="shared" si="6"/>
        <v/>
      </c>
      <c r="N83" s="6"/>
      <c r="O83" s="6"/>
      <c r="P83" s="10" t="str">
        <f t="shared" si="7"/>
        <v/>
      </c>
      <c r="Q83" s="7"/>
      <c r="R83" s="11">
        <f t="shared" si="8"/>
        <v>45465</v>
      </c>
      <c r="S83" s="5">
        <f t="shared" si="9"/>
        <v>2024</v>
      </c>
      <c r="T83" s="5">
        <f t="shared" si="10"/>
        <v>25</v>
      </c>
      <c r="U83" s="5" t="str">
        <f t="shared" si="11"/>
        <v>2023-24</v>
      </c>
    </row>
    <row r="84" spans="1:21" x14ac:dyDescent="0.2">
      <c r="A84" s="8">
        <v>45467</v>
      </c>
      <c r="B84" s="6">
        <v>2</v>
      </c>
      <c r="C84" s="6">
        <v>0</v>
      </c>
      <c r="D84" s="6">
        <v>0</v>
      </c>
      <c r="E84" s="6"/>
      <c r="F84" s="6"/>
      <c r="G84" s="6"/>
      <c r="H84" s="6"/>
      <c r="I84" s="6"/>
      <c r="J84" s="6"/>
      <c r="K84" s="6"/>
      <c r="L84" s="6"/>
      <c r="M84" s="5" t="str">
        <f t="shared" si="6"/>
        <v/>
      </c>
      <c r="N84" s="6"/>
      <c r="O84" s="6"/>
      <c r="P84" s="10" t="str">
        <f t="shared" si="7"/>
        <v/>
      </c>
      <c r="Q84" s="7"/>
      <c r="R84" s="11">
        <f t="shared" si="8"/>
        <v>45472</v>
      </c>
      <c r="S84" s="5">
        <f t="shared" si="9"/>
        <v>2024</v>
      </c>
      <c r="T84" s="5">
        <f t="shared" si="10"/>
        <v>26</v>
      </c>
      <c r="U84" s="5" t="str">
        <f t="shared" si="11"/>
        <v>2023-24</v>
      </c>
    </row>
    <row r="85" spans="1:21" x14ac:dyDescent="0.2">
      <c r="A85" s="8">
        <v>45474</v>
      </c>
      <c r="B85" s="6">
        <v>4</v>
      </c>
      <c r="C85" s="6">
        <v>0</v>
      </c>
      <c r="D85" s="6">
        <v>0</v>
      </c>
      <c r="E85" s="6"/>
      <c r="F85" s="6"/>
      <c r="G85" s="6"/>
      <c r="H85" s="6"/>
      <c r="I85" s="6"/>
      <c r="J85" s="6"/>
      <c r="K85" s="6"/>
      <c r="L85" s="6"/>
      <c r="M85" s="5" t="str">
        <f t="shared" si="6"/>
        <v/>
      </c>
      <c r="N85" s="6"/>
      <c r="O85" s="6"/>
      <c r="P85" s="10" t="str">
        <f t="shared" si="7"/>
        <v/>
      </c>
      <c r="Q85" s="7"/>
      <c r="R85" s="11">
        <f t="shared" si="8"/>
        <v>45479</v>
      </c>
      <c r="S85" s="5">
        <f t="shared" si="9"/>
        <v>2024</v>
      </c>
      <c r="T85" s="5">
        <f t="shared" si="10"/>
        <v>27</v>
      </c>
      <c r="U85" s="5" t="str">
        <f t="shared" si="11"/>
        <v>2023-24</v>
      </c>
    </row>
    <row r="86" spans="1:21" x14ac:dyDescent="0.2">
      <c r="A86" s="8">
        <v>45481</v>
      </c>
      <c r="B86" s="6">
        <v>1</v>
      </c>
      <c r="C86" s="6">
        <v>1</v>
      </c>
      <c r="D86" s="6">
        <v>0</v>
      </c>
      <c r="E86" s="6"/>
      <c r="F86" s="6"/>
      <c r="G86" s="6"/>
      <c r="H86" s="6"/>
      <c r="I86" s="6"/>
      <c r="J86" s="6"/>
      <c r="K86" s="6"/>
      <c r="L86" s="6"/>
      <c r="M86" s="5" t="str">
        <f t="shared" si="6"/>
        <v/>
      </c>
      <c r="N86" s="6"/>
      <c r="O86" s="6"/>
      <c r="P86" s="10" t="str">
        <f t="shared" si="7"/>
        <v/>
      </c>
      <c r="Q86" s="7"/>
      <c r="R86" s="11">
        <f t="shared" si="8"/>
        <v>45486</v>
      </c>
      <c r="S86" s="5">
        <f t="shared" si="9"/>
        <v>2024</v>
      </c>
      <c r="T86" s="5">
        <f t="shared" si="10"/>
        <v>28</v>
      </c>
      <c r="U86" s="5" t="str">
        <f t="shared" si="11"/>
        <v>2023-24</v>
      </c>
    </row>
    <row r="87" spans="1:21" x14ac:dyDescent="0.2">
      <c r="A87" s="8">
        <v>45488</v>
      </c>
      <c r="B87" s="6">
        <v>6</v>
      </c>
      <c r="C87" s="6">
        <v>0</v>
      </c>
      <c r="D87" s="6">
        <v>0</v>
      </c>
      <c r="E87" s="6"/>
      <c r="F87" s="6"/>
      <c r="G87" s="6"/>
      <c r="H87" s="6"/>
      <c r="I87" s="6"/>
      <c r="J87" s="6"/>
      <c r="K87" s="6"/>
      <c r="L87" s="6"/>
      <c r="M87" s="5" t="str">
        <f t="shared" si="6"/>
        <v/>
      </c>
      <c r="N87" s="6"/>
      <c r="O87" s="6"/>
      <c r="P87" s="10" t="str">
        <f t="shared" si="7"/>
        <v/>
      </c>
      <c r="Q87" s="7"/>
      <c r="R87" s="11">
        <f t="shared" si="8"/>
        <v>45493</v>
      </c>
      <c r="S87" s="5">
        <f t="shared" si="9"/>
        <v>2024</v>
      </c>
      <c r="T87" s="5">
        <f t="shared" si="10"/>
        <v>29</v>
      </c>
      <c r="U87" s="5" t="str">
        <f t="shared" si="11"/>
        <v>2023-24</v>
      </c>
    </row>
    <row r="88" spans="1:21" x14ac:dyDescent="0.2">
      <c r="A88" s="8">
        <v>45495</v>
      </c>
      <c r="B88" s="6">
        <v>4</v>
      </c>
      <c r="C88" s="6">
        <v>0</v>
      </c>
      <c r="D88" s="6">
        <v>0</v>
      </c>
      <c r="E88" s="6"/>
      <c r="F88" s="6"/>
      <c r="G88" s="6"/>
      <c r="H88" s="6"/>
      <c r="I88" s="6"/>
      <c r="J88" s="6"/>
      <c r="K88" s="6"/>
      <c r="L88" s="6"/>
      <c r="M88" s="5" t="str">
        <f t="shared" si="6"/>
        <v/>
      </c>
      <c r="N88" s="6"/>
      <c r="O88" s="6"/>
      <c r="P88" s="10" t="str">
        <f t="shared" si="7"/>
        <v/>
      </c>
      <c r="Q88" s="7"/>
      <c r="R88" s="11">
        <f t="shared" si="8"/>
        <v>45500</v>
      </c>
      <c r="S88" s="5">
        <f t="shared" si="9"/>
        <v>2024</v>
      </c>
      <c r="T88" s="5">
        <f t="shared" si="10"/>
        <v>30</v>
      </c>
      <c r="U88" s="5" t="str">
        <f t="shared" si="11"/>
        <v>2023-24</v>
      </c>
    </row>
    <row r="89" spans="1:21" x14ac:dyDescent="0.2">
      <c r="A89" s="8">
        <v>45502</v>
      </c>
      <c r="B89" s="6">
        <v>2</v>
      </c>
      <c r="C89" s="6">
        <v>0</v>
      </c>
      <c r="D89" s="6">
        <v>0</v>
      </c>
      <c r="E89" s="6"/>
      <c r="F89" s="6"/>
      <c r="G89" s="6"/>
      <c r="H89" s="6"/>
      <c r="I89" s="6"/>
      <c r="J89" s="6"/>
      <c r="K89" s="6"/>
      <c r="L89" s="6"/>
      <c r="M89" s="5" t="str">
        <f t="shared" si="6"/>
        <v/>
      </c>
      <c r="N89" s="6"/>
      <c r="O89" s="6"/>
      <c r="P89" s="10" t="str">
        <f t="shared" si="7"/>
        <v/>
      </c>
      <c r="Q89" s="7"/>
      <c r="R89" s="11">
        <f t="shared" si="8"/>
        <v>45507</v>
      </c>
      <c r="S89" s="5">
        <f t="shared" si="9"/>
        <v>2024</v>
      </c>
      <c r="T89" s="5">
        <f t="shared" si="10"/>
        <v>31</v>
      </c>
      <c r="U89" s="5" t="str">
        <f t="shared" si="11"/>
        <v>2023-24</v>
      </c>
    </row>
    <row r="90" spans="1:21" x14ac:dyDescent="0.2">
      <c r="A90" s="8">
        <v>45509</v>
      </c>
      <c r="B90" s="6">
        <v>10</v>
      </c>
      <c r="C90" s="6">
        <v>0</v>
      </c>
      <c r="D90" s="6">
        <v>0</v>
      </c>
      <c r="E90" s="6"/>
      <c r="F90" s="6"/>
      <c r="G90" s="6"/>
      <c r="H90" s="6"/>
      <c r="I90" s="6"/>
      <c r="J90" s="6"/>
      <c r="K90" s="6"/>
      <c r="L90" s="6"/>
      <c r="M90" s="5" t="str">
        <f t="shared" si="6"/>
        <v/>
      </c>
      <c r="N90" s="6"/>
      <c r="O90" s="6"/>
      <c r="P90" s="10" t="str">
        <f t="shared" si="7"/>
        <v/>
      </c>
      <c r="Q90" s="7"/>
      <c r="R90" s="11">
        <f t="shared" si="8"/>
        <v>45514</v>
      </c>
      <c r="S90" s="5">
        <f t="shared" si="9"/>
        <v>2024</v>
      </c>
      <c r="T90" s="5">
        <f t="shared" si="10"/>
        <v>32</v>
      </c>
      <c r="U90" s="5" t="str">
        <f t="shared" si="11"/>
        <v>2023-24</v>
      </c>
    </row>
    <row r="91" spans="1:21" x14ac:dyDescent="0.2">
      <c r="A91" s="8">
        <v>45516</v>
      </c>
      <c r="B91" s="6">
        <v>8</v>
      </c>
      <c r="C91" s="6">
        <v>0</v>
      </c>
      <c r="D91" s="6">
        <v>0</v>
      </c>
      <c r="E91" s="6"/>
      <c r="F91" s="6"/>
      <c r="G91" s="6"/>
      <c r="H91" s="6"/>
      <c r="I91" s="6"/>
      <c r="J91" s="6"/>
      <c r="K91" s="6"/>
      <c r="L91" s="6"/>
      <c r="M91" s="5" t="str">
        <f t="shared" si="6"/>
        <v/>
      </c>
      <c r="N91" s="6"/>
      <c r="O91" s="6"/>
      <c r="P91" s="10" t="str">
        <f t="shared" si="7"/>
        <v/>
      </c>
      <c r="Q91" s="7"/>
      <c r="R91" s="11">
        <f t="shared" si="8"/>
        <v>45521</v>
      </c>
      <c r="S91" s="5">
        <f t="shared" si="9"/>
        <v>2024</v>
      </c>
      <c r="T91" s="5">
        <f t="shared" si="10"/>
        <v>33</v>
      </c>
      <c r="U91" s="5" t="str">
        <f t="shared" si="11"/>
        <v>2023-24</v>
      </c>
    </row>
    <row r="92" spans="1:21" x14ac:dyDescent="0.2">
      <c r="A92" s="8">
        <v>45523</v>
      </c>
      <c r="B92" s="6">
        <v>1</v>
      </c>
      <c r="C92" s="6">
        <v>0</v>
      </c>
      <c r="D92" s="6">
        <v>0</v>
      </c>
      <c r="E92" s="6"/>
      <c r="F92" s="6"/>
      <c r="G92" s="6"/>
      <c r="H92" s="6"/>
      <c r="I92" s="6"/>
      <c r="J92" s="6"/>
      <c r="K92" s="6"/>
      <c r="L92" s="6"/>
      <c r="M92" s="5" t="str">
        <f t="shared" si="6"/>
        <v/>
      </c>
      <c r="N92" s="6"/>
      <c r="O92" s="6"/>
      <c r="P92" s="10" t="str">
        <f t="shared" si="7"/>
        <v/>
      </c>
      <c r="Q92" s="7"/>
      <c r="R92" s="11">
        <f t="shared" si="8"/>
        <v>45528</v>
      </c>
      <c r="S92" s="5">
        <f t="shared" si="9"/>
        <v>2024</v>
      </c>
      <c r="T92" s="5">
        <f t="shared" si="10"/>
        <v>34</v>
      </c>
      <c r="U92" s="5" t="str">
        <f t="shared" si="11"/>
        <v>2023-24</v>
      </c>
    </row>
    <row r="93" spans="1:21" x14ac:dyDescent="0.2">
      <c r="A93" s="8">
        <v>45530</v>
      </c>
      <c r="B93" s="6">
        <v>5</v>
      </c>
      <c r="C93" s="6">
        <v>0</v>
      </c>
      <c r="D93" s="6">
        <v>0</v>
      </c>
      <c r="E93" s="6"/>
      <c r="F93" s="6"/>
      <c r="G93" s="6"/>
      <c r="H93" s="6"/>
      <c r="I93" s="6"/>
      <c r="J93" s="6"/>
      <c r="K93" s="6"/>
      <c r="L93" s="6"/>
      <c r="M93" s="5" t="str">
        <f t="shared" si="6"/>
        <v/>
      </c>
      <c r="N93" s="6"/>
      <c r="O93" s="6"/>
      <c r="P93" s="10" t="str">
        <f t="shared" si="7"/>
        <v/>
      </c>
      <c r="Q93" s="7"/>
      <c r="R93" s="11">
        <f t="shared" si="8"/>
        <v>45535</v>
      </c>
      <c r="S93" s="5">
        <f t="shared" si="9"/>
        <v>2024</v>
      </c>
      <c r="T93" s="5">
        <f t="shared" si="10"/>
        <v>35</v>
      </c>
      <c r="U93" s="5" t="str">
        <f t="shared" si="11"/>
        <v>2023-24</v>
      </c>
    </row>
    <row r="94" spans="1:21" x14ac:dyDescent="0.2">
      <c r="A94" s="8">
        <v>45537</v>
      </c>
      <c r="B94" s="6">
        <v>6</v>
      </c>
      <c r="C94" s="6">
        <v>0</v>
      </c>
      <c r="D94" s="6">
        <v>0</v>
      </c>
      <c r="E94" s="6"/>
      <c r="F94" s="6"/>
      <c r="G94" s="6"/>
      <c r="H94" s="6"/>
      <c r="I94" s="6"/>
      <c r="J94" s="6"/>
      <c r="K94" s="6"/>
      <c r="L94" s="6"/>
      <c r="M94" s="5" t="str">
        <f t="shared" si="6"/>
        <v/>
      </c>
      <c r="N94" s="6"/>
      <c r="O94" s="6"/>
      <c r="P94" s="10" t="str">
        <f t="shared" si="7"/>
        <v/>
      </c>
      <c r="Q94" s="7"/>
      <c r="R94" s="11">
        <f t="shared" si="8"/>
        <v>45542</v>
      </c>
      <c r="S94" s="5">
        <f t="shared" si="9"/>
        <v>2024</v>
      </c>
      <c r="T94" s="5">
        <f t="shared" si="10"/>
        <v>36</v>
      </c>
      <c r="U94" s="5" t="str">
        <f t="shared" si="11"/>
        <v>2024-25</v>
      </c>
    </row>
    <row r="95" spans="1:21" x14ac:dyDescent="0.2">
      <c r="A95" s="8">
        <v>45544</v>
      </c>
      <c r="B95" s="6">
        <v>3</v>
      </c>
      <c r="C95" s="6">
        <v>1</v>
      </c>
      <c r="D95" s="6">
        <v>0</v>
      </c>
      <c r="E95" s="6"/>
      <c r="F95" s="6"/>
      <c r="G95" s="6"/>
      <c r="H95" s="6"/>
      <c r="I95" s="6"/>
      <c r="J95" s="6"/>
      <c r="K95" s="6"/>
      <c r="L95" s="6"/>
      <c r="M95" s="5" t="str">
        <f t="shared" si="6"/>
        <v/>
      </c>
      <c r="N95" s="6"/>
      <c r="O95" s="6"/>
      <c r="P95" s="10" t="str">
        <f t="shared" si="7"/>
        <v/>
      </c>
      <c r="Q95" s="7"/>
      <c r="R95" s="11">
        <f t="shared" si="8"/>
        <v>45549</v>
      </c>
      <c r="S95" s="5">
        <f t="shared" si="9"/>
        <v>2024</v>
      </c>
      <c r="T95" s="5">
        <f t="shared" si="10"/>
        <v>37</v>
      </c>
      <c r="U95" s="5" t="str">
        <f t="shared" si="11"/>
        <v>2024-25</v>
      </c>
    </row>
    <row r="96" spans="1:21" x14ac:dyDescent="0.2">
      <c r="A96" s="8">
        <v>45551</v>
      </c>
      <c r="B96" s="6">
        <v>5</v>
      </c>
      <c r="C96" s="6">
        <v>1</v>
      </c>
      <c r="D96" s="6">
        <v>0</v>
      </c>
      <c r="E96" s="6"/>
      <c r="F96" s="6"/>
      <c r="G96" s="6"/>
      <c r="H96" s="6"/>
      <c r="I96" s="6"/>
      <c r="J96" s="6"/>
      <c r="K96" s="6"/>
      <c r="L96" s="6"/>
      <c r="M96" s="5" t="str">
        <f t="shared" si="6"/>
        <v/>
      </c>
      <c r="N96" s="6"/>
      <c r="O96" s="6"/>
      <c r="P96" s="10" t="str">
        <f t="shared" si="7"/>
        <v/>
      </c>
      <c r="Q96" s="7"/>
      <c r="R96" s="11">
        <f t="shared" si="8"/>
        <v>45556</v>
      </c>
      <c r="S96" s="5">
        <f t="shared" si="9"/>
        <v>2024</v>
      </c>
      <c r="T96" s="5">
        <f t="shared" si="10"/>
        <v>38</v>
      </c>
      <c r="U96" s="5" t="str">
        <f t="shared" si="11"/>
        <v>2024-25</v>
      </c>
    </row>
    <row r="97" spans="1:21" x14ac:dyDescent="0.2">
      <c r="A97" s="8">
        <v>45558</v>
      </c>
      <c r="B97" s="6">
        <v>8</v>
      </c>
      <c r="C97" s="6">
        <v>0</v>
      </c>
      <c r="D97" s="6">
        <v>0</v>
      </c>
      <c r="E97" s="6">
        <v>0</v>
      </c>
      <c r="F97" s="6">
        <v>0</v>
      </c>
      <c r="G97" s="6">
        <v>1</v>
      </c>
      <c r="H97" s="6">
        <v>0</v>
      </c>
      <c r="I97" s="6">
        <v>0</v>
      </c>
      <c r="J97" s="6">
        <v>0</v>
      </c>
      <c r="K97" s="6">
        <v>1</v>
      </c>
      <c r="L97" s="6">
        <v>0</v>
      </c>
      <c r="M97" s="5">
        <f t="shared" si="6"/>
        <v>1</v>
      </c>
      <c r="N97" s="6">
        <v>0</v>
      </c>
      <c r="O97" s="6">
        <v>1</v>
      </c>
      <c r="P97" s="10">
        <f t="shared" si="7"/>
        <v>0</v>
      </c>
      <c r="Q97" s="7" t="s">
        <v>60</v>
      </c>
      <c r="R97" s="11">
        <f t="shared" si="8"/>
        <v>45563</v>
      </c>
      <c r="S97" s="5">
        <f t="shared" si="9"/>
        <v>2024</v>
      </c>
      <c r="T97" s="5">
        <f t="shared" si="10"/>
        <v>39</v>
      </c>
      <c r="U97" s="5" t="str">
        <f t="shared" si="11"/>
        <v>2024-25</v>
      </c>
    </row>
    <row r="98" spans="1:21" x14ac:dyDescent="0.2">
      <c r="A98" s="8">
        <v>45565</v>
      </c>
      <c r="B98" s="6">
        <v>1</v>
      </c>
      <c r="C98" s="6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5">
        <f t="shared" si="6"/>
        <v>0</v>
      </c>
      <c r="N98" s="6">
        <v>0</v>
      </c>
      <c r="O98" s="6">
        <v>0</v>
      </c>
      <c r="P98" s="10" t="str">
        <f t="shared" si="7"/>
        <v/>
      </c>
      <c r="Q98" s="7" t="s">
        <v>60</v>
      </c>
      <c r="R98" s="11">
        <f t="shared" si="8"/>
        <v>45570</v>
      </c>
      <c r="S98" s="5">
        <f t="shared" si="9"/>
        <v>2024</v>
      </c>
      <c r="T98" s="5">
        <f t="shared" si="10"/>
        <v>40</v>
      </c>
      <c r="U98" s="5" t="str">
        <f t="shared" si="11"/>
        <v>2024-25</v>
      </c>
    </row>
    <row r="99" spans="1:21" x14ac:dyDescent="0.2">
      <c r="A99" s="8">
        <v>45572</v>
      </c>
      <c r="B99" s="6">
        <v>1</v>
      </c>
      <c r="C99" s="6">
        <v>0</v>
      </c>
      <c r="D99" s="6">
        <v>0</v>
      </c>
      <c r="E99" s="6">
        <v>0</v>
      </c>
      <c r="F99" s="6">
        <v>0</v>
      </c>
      <c r="G99" s="6">
        <v>0</v>
      </c>
      <c r="H99" s="6">
        <v>0</v>
      </c>
      <c r="I99" s="6">
        <v>0</v>
      </c>
      <c r="J99" s="6">
        <v>0</v>
      </c>
      <c r="K99" s="6">
        <v>0</v>
      </c>
      <c r="L99" s="6">
        <v>0</v>
      </c>
      <c r="M99" s="5">
        <f t="shared" si="6"/>
        <v>0</v>
      </c>
      <c r="N99" s="6">
        <v>0</v>
      </c>
      <c r="O99" s="6">
        <v>0</v>
      </c>
      <c r="P99" s="10" t="str">
        <f t="shared" si="7"/>
        <v/>
      </c>
      <c r="Q99" s="7" t="s">
        <v>60</v>
      </c>
      <c r="R99" s="11">
        <f t="shared" si="8"/>
        <v>45577</v>
      </c>
      <c r="S99" s="5">
        <f t="shared" si="9"/>
        <v>2024</v>
      </c>
      <c r="T99" s="5">
        <f t="shared" si="10"/>
        <v>41</v>
      </c>
      <c r="U99" s="5" t="str">
        <f t="shared" si="11"/>
        <v>2024-25</v>
      </c>
    </row>
    <row r="100" spans="1:21" x14ac:dyDescent="0.2">
      <c r="A100" s="8">
        <v>45579</v>
      </c>
      <c r="B100" s="6">
        <v>2</v>
      </c>
      <c r="C100" s="6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6">
        <v>0</v>
      </c>
      <c r="J100" s="6">
        <v>0</v>
      </c>
      <c r="K100" s="6">
        <v>0</v>
      </c>
      <c r="L100" s="6">
        <v>0</v>
      </c>
      <c r="M100" s="5">
        <f t="shared" si="6"/>
        <v>0</v>
      </c>
      <c r="N100" s="6">
        <v>0</v>
      </c>
      <c r="O100" s="6">
        <v>0</v>
      </c>
      <c r="P100" s="10" t="str">
        <f t="shared" si="7"/>
        <v/>
      </c>
      <c r="Q100" s="7" t="s">
        <v>60</v>
      </c>
      <c r="R100" s="11">
        <f t="shared" si="8"/>
        <v>45584</v>
      </c>
      <c r="S100" s="5">
        <f t="shared" si="9"/>
        <v>2024</v>
      </c>
      <c r="T100" s="5">
        <f t="shared" si="10"/>
        <v>42</v>
      </c>
      <c r="U100" s="5" t="str">
        <f t="shared" si="11"/>
        <v>2024-25</v>
      </c>
    </row>
    <row r="101" spans="1:21" x14ac:dyDescent="0.2">
      <c r="A101" s="8">
        <v>45586</v>
      </c>
      <c r="B101" s="6">
        <v>3</v>
      </c>
      <c r="C101" s="6">
        <v>2</v>
      </c>
      <c r="D101" s="6">
        <v>2</v>
      </c>
      <c r="E101" s="6">
        <v>0</v>
      </c>
      <c r="F101" s="6">
        <v>0</v>
      </c>
      <c r="G101" s="6">
        <v>0</v>
      </c>
      <c r="H101" s="6">
        <v>0</v>
      </c>
      <c r="I101" s="6">
        <v>1</v>
      </c>
      <c r="J101" s="6">
        <v>0</v>
      </c>
      <c r="K101" s="6">
        <v>0</v>
      </c>
      <c r="L101" s="6">
        <v>0</v>
      </c>
      <c r="M101" s="5">
        <f t="shared" si="6"/>
        <v>0</v>
      </c>
      <c r="N101" s="6">
        <v>0</v>
      </c>
      <c r="O101" s="6">
        <v>0</v>
      </c>
      <c r="P101" s="10" t="str">
        <f t="shared" si="7"/>
        <v/>
      </c>
      <c r="Q101" s="7" t="s">
        <v>60</v>
      </c>
      <c r="R101" s="11">
        <f t="shared" si="8"/>
        <v>45591</v>
      </c>
      <c r="S101" s="5">
        <f t="shared" si="9"/>
        <v>2024</v>
      </c>
      <c r="T101" s="5">
        <f t="shared" si="10"/>
        <v>43</v>
      </c>
      <c r="U101" s="5" t="str">
        <f t="shared" si="11"/>
        <v>2024-25</v>
      </c>
    </row>
    <row r="102" spans="1:21" x14ac:dyDescent="0.2">
      <c r="A102" s="8">
        <v>45593</v>
      </c>
      <c r="B102" s="6">
        <v>2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5">
        <f t="shared" si="6"/>
        <v>0</v>
      </c>
      <c r="N102" s="6">
        <v>0</v>
      </c>
      <c r="O102" s="6">
        <v>0</v>
      </c>
      <c r="P102" s="10" t="str">
        <f t="shared" si="7"/>
        <v/>
      </c>
      <c r="Q102" s="7" t="s">
        <v>60</v>
      </c>
      <c r="R102" s="11">
        <f t="shared" si="8"/>
        <v>45598</v>
      </c>
      <c r="S102" s="5">
        <f t="shared" si="9"/>
        <v>2024</v>
      </c>
      <c r="T102" s="5">
        <f t="shared" si="10"/>
        <v>44</v>
      </c>
      <c r="U102" s="5" t="str">
        <f t="shared" si="11"/>
        <v>2024-25</v>
      </c>
    </row>
    <row r="103" spans="1:21" x14ac:dyDescent="0.2">
      <c r="A103" s="8">
        <v>45600</v>
      </c>
      <c r="B103" s="6">
        <v>2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5">
        <f t="shared" si="6"/>
        <v>0</v>
      </c>
      <c r="N103" s="6">
        <v>0</v>
      </c>
      <c r="O103" s="6">
        <v>0</v>
      </c>
      <c r="P103" s="10" t="str">
        <f t="shared" si="7"/>
        <v/>
      </c>
      <c r="Q103" s="7" t="s">
        <v>60</v>
      </c>
      <c r="R103" s="11">
        <f t="shared" si="8"/>
        <v>45605</v>
      </c>
      <c r="S103" s="5">
        <f t="shared" si="9"/>
        <v>2024</v>
      </c>
      <c r="T103" s="5">
        <f t="shared" si="10"/>
        <v>45</v>
      </c>
      <c r="U103" s="5" t="str">
        <f t="shared" si="11"/>
        <v>2024-25</v>
      </c>
    </row>
    <row r="104" spans="1:21" x14ac:dyDescent="0.2">
      <c r="A104" s="8">
        <v>45607</v>
      </c>
      <c r="B104" s="6">
        <v>1</v>
      </c>
      <c r="C104" s="6">
        <v>0</v>
      </c>
      <c r="D104" s="6">
        <v>0</v>
      </c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6">
        <v>0</v>
      </c>
      <c r="K104" s="6">
        <v>0</v>
      </c>
      <c r="L104" s="6">
        <v>0</v>
      </c>
      <c r="M104" s="5">
        <f t="shared" si="6"/>
        <v>0</v>
      </c>
      <c r="N104" s="6">
        <v>0</v>
      </c>
      <c r="O104" s="6">
        <v>0</v>
      </c>
      <c r="P104" s="10" t="str">
        <f t="shared" si="7"/>
        <v/>
      </c>
      <c r="Q104" s="7" t="s">
        <v>60</v>
      </c>
      <c r="R104" s="11">
        <f t="shared" si="8"/>
        <v>45612</v>
      </c>
      <c r="S104" s="5">
        <f t="shared" si="9"/>
        <v>2024</v>
      </c>
      <c r="T104" s="5">
        <f t="shared" si="10"/>
        <v>46</v>
      </c>
      <c r="U104" s="5" t="str">
        <f t="shared" si="11"/>
        <v>2024-25</v>
      </c>
    </row>
    <row r="105" spans="1:21" x14ac:dyDescent="0.2">
      <c r="A105" s="8">
        <v>45614</v>
      </c>
      <c r="B105" s="6">
        <v>0</v>
      </c>
      <c r="C105" s="6">
        <v>1</v>
      </c>
      <c r="D105" s="6">
        <v>0</v>
      </c>
      <c r="E105" s="6">
        <v>0</v>
      </c>
      <c r="F105" s="6">
        <v>0</v>
      </c>
      <c r="G105" s="6">
        <v>0</v>
      </c>
      <c r="H105" s="6">
        <v>0</v>
      </c>
      <c r="I105" s="6">
        <v>1</v>
      </c>
      <c r="J105" s="6">
        <v>0</v>
      </c>
      <c r="K105" s="6">
        <v>0</v>
      </c>
      <c r="L105" s="6">
        <v>0</v>
      </c>
      <c r="M105" s="5">
        <f t="shared" si="6"/>
        <v>0</v>
      </c>
      <c r="N105" s="6">
        <v>0</v>
      </c>
      <c r="O105" s="6">
        <v>0</v>
      </c>
      <c r="P105" s="10" t="str">
        <f t="shared" si="7"/>
        <v/>
      </c>
      <c r="Q105" s="7" t="s">
        <v>60</v>
      </c>
      <c r="R105" s="11">
        <f t="shared" si="8"/>
        <v>45619</v>
      </c>
      <c r="S105" s="5">
        <f t="shared" si="9"/>
        <v>2024</v>
      </c>
      <c r="T105" s="5">
        <f t="shared" si="10"/>
        <v>47</v>
      </c>
      <c r="U105" s="5" t="str">
        <f t="shared" si="11"/>
        <v>2024-25</v>
      </c>
    </row>
    <row r="106" spans="1:21" x14ac:dyDescent="0.2">
      <c r="A106" s="8">
        <v>45621</v>
      </c>
      <c r="B106" s="6">
        <v>1</v>
      </c>
      <c r="C106" s="6">
        <v>0</v>
      </c>
      <c r="D106" s="6">
        <v>0</v>
      </c>
      <c r="E106" s="6">
        <v>0</v>
      </c>
      <c r="F106" s="6">
        <v>0</v>
      </c>
      <c r="G106" s="6">
        <v>3</v>
      </c>
      <c r="H106" s="6">
        <v>0</v>
      </c>
      <c r="I106" s="6">
        <v>1</v>
      </c>
      <c r="J106" s="6">
        <v>0</v>
      </c>
      <c r="K106" s="6">
        <v>3</v>
      </c>
      <c r="L106" s="6">
        <v>0</v>
      </c>
      <c r="M106" s="5">
        <f t="shared" si="6"/>
        <v>3</v>
      </c>
      <c r="N106" s="6">
        <v>0</v>
      </c>
      <c r="O106" s="6">
        <v>3</v>
      </c>
      <c r="P106" s="10">
        <f t="shared" si="7"/>
        <v>0</v>
      </c>
      <c r="Q106" s="7" t="s">
        <v>60</v>
      </c>
      <c r="R106" s="11">
        <f t="shared" si="8"/>
        <v>45626</v>
      </c>
      <c r="S106" s="5">
        <f t="shared" si="9"/>
        <v>2024</v>
      </c>
      <c r="T106" s="5">
        <f t="shared" si="10"/>
        <v>48</v>
      </c>
      <c r="U106" s="5" t="str">
        <f t="shared" si="11"/>
        <v>2024-25</v>
      </c>
    </row>
    <row r="107" spans="1:21" x14ac:dyDescent="0.2">
      <c r="A107" s="8">
        <v>45628</v>
      </c>
      <c r="B107" s="6">
        <v>2</v>
      </c>
      <c r="C107" s="6">
        <v>4</v>
      </c>
      <c r="D107" s="6">
        <v>0</v>
      </c>
      <c r="E107" s="6">
        <v>1</v>
      </c>
      <c r="F107" s="6">
        <v>1</v>
      </c>
      <c r="G107" s="6">
        <v>2</v>
      </c>
      <c r="H107" s="6">
        <v>2</v>
      </c>
      <c r="I107" s="6">
        <v>0</v>
      </c>
      <c r="J107" s="6">
        <v>0</v>
      </c>
      <c r="K107" s="6">
        <v>2</v>
      </c>
      <c r="L107" s="6">
        <v>0</v>
      </c>
      <c r="M107" s="5">
        <f t="shared" si="6"/>
        <v>2</v>
      </c>
      <c r="N107" s="6">
        <v>1</v>
      </c>
      <c r="O107" s="6">
        <v>1</v>
      </c>
      <c r="P107" s="10">
        <f t="shared" si="7"/>
        <v>0.5</v>
      </c>
      <c r="Q107" s="7" t="s">
        <v>60</v>
      </c>
      <c r="R107" s="11">
        <f t="shared" si="8"/>
        <v>45633</v>
      </c>
      <c r="S107" s="5">
        <f t="shared" si="9"/>
        <v>2024</v>
      </c>
      <c r="T107" s="5">
        <f t="shared" si="10"/>
        <v>49</v>
      </c>
      <c r="U107" s="5" t="str">
        <f t="shared" si="11"/>
        <v>2024-25</v>
      </c>
    </row>
    <row r="108" spans="1:21" x14ac:dyDescent="0.2">
      <c r="A108" s="8">
        <v>45635</v>
      </c>
      <c r="B108" s="6">
        <v>1</v>
      </c>
      <c r="C108" s="6">
        <v>5</v>
      </c>
      <c r="D108" s="6">
        <v>0</v>
      </c>
      <c r="E108" s="6">
        <v>0</v>
      </c>
      <c r="F108" s="6">
        <v>0</v>
      </c>
      <c r="G108" s="6">
        <v>8</v>
      </c>
      <c r="H108" s="6">
        <v>5</v>
      </c>
      <c r="I108" s="6">
        <v>0</v>
      </c>
      <c r="J108" s="6">
        <v>0</v>
      </c>
      <c r="K108" s="6">
        <v>8</v>
      </c>
      <c r="L108" s="6">
        <v>0</v>
      </c>
      <c r="M108" s="5">
        <f t="shared" si="6"/>
        <v>8</v>
      </c>
      <c r="N108" s="6">
        <v>0</v>
      </c>
      <c r="O108" s="6">
        <v>8</v>
      </c>
      <c r="P108" s="10">
        <f t="shared" si="7"/>
        <v>0</v>
      </c>
      <c r="Q108" s="7" t="s">
        <v>60</v>
      </c>
      <c r="R108" s="11">
        <f t="shared" si="8"/>
        <v>45640</v>
      </c>
      <c r="S108" s="5">
        <f t="shared" si="9"/>
        <v>2024</v>
      </c>
      <c r="T108" s="5">
        <f t="shared" si="10"/>
        <v>50</v>
      </c>
      <c r="U108" s="5" t="str">
        <f t="shared" si="11"/>
        <v>2024-25</v>
      </c>
    </row>
    <row r="109" spans="1:21" x14ac:dyDescent="0.2">
      <c r="A109" s="8">
        <v>45642</v>
      </c>
      <c r="B109" s="6">
        <v>4</v>
      </c>
      <c r="C109" s="6">
        <v>11</v>
      </c>
      <c r="D109" s="6">
        <v>0</v>
      </c>
      <c r="E109" s="6">
        <v>0</v>
      </c>
      <c r="F109" s="6">
        <v>0</v>
      </c>
      <c r="G109" s="6">
        <v>17</v>
      </c>
      <c r="H109" s="6">
        <v>9</v>
      </c>
      <c r="I109" s="6">
        <v>0</v>
      </c>
      <c r="J109" s="6">
        <v>0</v>
      </c>
      <c r="K109" s="6">
        <v>17</v>
      </c>
      <c r="L109" s="6">
        <v>0</v>
      </c>
      <c r="M109" s="5">
        <f t="shared" si="6"/>
        <v>17</v>
      </c>
      <c r="N109" s="6">
        <v>3</v>
      </c>
      <c r="O109" s="6">
        <v>14</v>
      </c>
      <c r="P109" s="10">
        <f t="shared" si="7"/>
        <v>0.17647058823529413</v>
      </c>
      <c r="Q109" s="7" t="s">
        <v>60</v>
      </c>
      <c r="R109" s="11">
        <f t="shared" si="8"/>
        <v>45647</v>
      </c>
      <c r="S109" s="5">
        <f t="shared" si="9"/>
        <v>2024</v>
      </c>
      <c r="T109" s="5">
        <f t="shared" si="10"/>
        <v>51</v>
      </c>
      <c r="U109" s="5" t="str">
        <f t="shared" si="11"/>
        <v>2024-25</v>
      </c>
    </row>
    <row r="110" spans="1:21" x14ac:dyDescent="0.2">
      <c r="A110" s="8">
        <v>45649</v>
      </c>
      <c r="B110" s="6">
        <v>1</v>
      </c>
      <c r="C110" s="6">
        <v>19</v>
      </c>
      <c r="D110" s="6">
        <v>4</v>
      </c>
      <c r="E110" s="6">
        <v>0</v>
      </c>
      <c r="F110" s="6">
        <v>0</v>
      </c>
      <c r="G110" s="6">
        <v>24</v>
      </c>
      <c r="H110" s="6">
        <v>9</v>
      </c>
      <c r="I110" s="6">
        <v>9</v>
      </c>
      <c r="J110" s="6">
        <v>0</v>
      </c>
      <c r="K110" s="6">
        <v>22</v>
      </c>
      <c r="L110" s="6">
        <v>2</v>
      </c>
      <c r="M110" s="5">
        <f t="shared" si="6"/>
        <v>24</v>
      </c>
      <c r="N110" s="6">
        <v>1</v>
      </c>
      <c r="O110" s="6">
        <v>23</v>
      </c>
      <c r="P110" s="10">
        <f t="shared" si="7"/>
        <v>4.1666666666666664E-2</v>
      </c>
      <c r="Q110" s="7" t="s">
        <v>60</v>
      </c>
      <c r="R110" s="11">
        <f t="shared" si="8"/>
        <v>45654</v>
      </c>
      <c r="S110" s="5">
        <f t="shared" si="9"/>
        <v>2024</v>
      </c>
      <c r="T110" s="5">
        <f t="shared" si="10"/>
        <v>52</v>
      </c>
      <c r="U110" s="5" t="str">
        <f t="shared" si="11"/>
        <v>2024-25</v>
      </c>
    </row>
    <row r="111" spans="1:21" x14ac:dyDescent="0.2">
      <c r="A111" s="8">
        <v>45656</v>
      </c>
      <c r="B111" s="6">
        <v>2</v>
      </c>
      <c r="C111" s="6">
        <v>33</v>
      </c>
      <c r="D111" s="6">
        <v>4</v>
      </c>
      <c r="E111" s="6">
        <v>0</v>
      </c>
      <c r="F111" s="6">
        <v>0</v>
      </c>
      <c r="G111" s="6">
        <v>37</v>
      </c>
      <c r="H111" s="6">
        <v>8</v>
      </c>
      <c r="I111" s="6">
        <v>7</v>
      </c>
      <c r="J111" s="6">
        <v>2</v>
      </c>
      <c r="K111" s="6">
        <v>35</v>
      </c>
      <c r="L111" s="6">
        <v>2</v>
      </c>
      <c r="M111" s="5">
        <f t="shared" si="6"/>
        <v>37</v>
      </c>
      <c r="N111" s="6">
        <v>3</v>
      </c>
      <c r="O111" s="6">
        <v>34</v>
      </c>
      <c r="P111" s="10">
        <f t="shared" si="7"/>
        <v>8.1081081081081086E-2</v>
      </c>
      <c r="Q111" s="7" t="s">
        <v>60</v>
      </c>
      <c r="R111" s="11">
        <f t="shared" si="8"/>
        <v>45661</v>
      </c>
      <c r="S111" s="5">
        <f t="shared" si="9"/>
        <v>2025</v>
      </c>
      <c r="T111" s="5">
        <f t="shared" si="10"/>
        <v>1</v>
      </c>
      <c r="U111" s="5" t="str">
        <f t="shared" si="11"/>
        <v>2024-25</v>
      </c>
    </row>
    <row r="112" spans="1:21" x14ac:dyDescent="0.2">
      <c r="A112" s="8">
        <v>45663</v>
      </c>
      <c r="B112" s="6">
        <v>3</v>
      </c>
      <c r="C112" s="6">
        <v>16</v>
      </c>
      <c r="D112" s="6">
        <v>1</v>
      </c>
      <c r="E112" s="6">
        <v>1</v>
      </c>
      <c r="F112" s="6">
        <v>0</v>
      </c>
      <c r="G112" s="6">
        <v>24</v>
      </c>
      <c r="H112" s="6">
        <v>11</v>
      </c>
      <c r="I112" s="6">
        <v>3</v>
      </c>
      <c r="J112" s="6">
        <v>0</v>
      </c>
      <c r="K112" s="6">
        <v>23</v>
      </c>
      <c r="L112" s="6">
        <v>1</v>
      </c>
      <c r="M112" s="5">
        <f t="shared" si="6"/>
        <v>24</v>
      </c>
      <c r="N112" s="6">
        <v>6</v>
      </c>
      <c r="O112" s="6">
        <v>18</v>
      </c>
      <c r="P112" s="10">
        <f t="shared" si="7"/>
        <v>0.25</v>
      </c>
      <c r="Q112" s="7" t="s">
        <v>60</v>
      </c>
      <c r="R112" s="11">
        <f t="shared" si="8"/>
        <v>45668</v>
      </c>
      <c r="S112" s="5">
        <f t="shared" si="9"/>
        <v>2025</v>
      </c>
      <c r="T112" s="5">
        <f t="shared" si="10"/>
        <v>2</v>
      </c>
      <c r="U112" s="5" t="str">
        <f t="shared" si="11"/>
        <v>2024-25</v>
      </c>
    </row>
    <row r="113" spans="1:21" x14ac:dyDescent="0.2">
      <c r="A113" s="8">
        <v>45670</v>
      </c>
      <c r="B113" s="6">
        <v>4</v>
      </c>
      <c r="C113" s="6">
        <v>11</v>
      </c>
      <c r="D113" s="6">
        <v>1</v>
      </c>
      <c r="E113" s="6">
        <v>0</v>
      </c>
      <c r="F113" s="6">
        <v>0</v>
      </c>
      <c r="G113" s="6">
        <v>14</v>
      </c>
      <c r="H113" s="6">
        <v>4</v>
      </c>
      <c r="I113" s="6">
        <v>2</v>
      </c>
      <c r="J113" s="6">
        <v>1</v>
      </c>
      <c r="K113" s="6">
        <v>13</v>
      </c>
      <c r="L113" s="6">
        <v>1</v>
      </c>
      <c r="M113" s="5">
        <f t="shared" si="6"/>
        <v>14</v>
      </c>
      <c r="N113" s="6">
        <v>0</v>
      </c>
      <c r="O113" s="6">
        <v>14</v>
      </c>
      <c r="P113" s="10">
        <f t="shared" si="7"/>
        <v>0</v>
      </c>
      <c r="Q113" s="7" t="s">
        <v>60</v>
      </c>
      <c r="R113" s="11">
        <f t="shared" si="8"/>
        <v>45675</v>
      </c>
      <c r="S113" s="5">
        <f t="shared" si="9"/>
        <v>2025</v>
      </c>
      <c r="T113" s="5">
        <f t="shared" si="10"/>
        <v>3</v>
      </c>
      <c r="U113" s="5" t="str">
        <f t="shared" si="11"/>
        <v>2024-25</v>
      </c>
    </row>
    <row r="114" spans="1:21" x14ac:dyDescent="0.2">
      <c r="A114" s="8">
        <v>45677</v>
      </c>
      <c r="B114" s="6">
        <v>3</v>
      </c>
      <c r="C114" s="6">
        <v>11</v>
      </c>
      <c r="D114" s="6">
        <v>6</v>
      </c>
      <c r="E114" s="6">
        <v>0</v>
      </c>
      <c r="F114" s="6">
        <v>0</v>
      </c>
      <c r="G114" s="6">
        <v>15</v>
      </c>
      <c r="H114" s="6">
        <v>5</v>
      </c>
      <c r="I114" s="6">
        <v>1</v>
      </c>
      <c r="J114" s="6">
        <v>0</v>
      </c>
      <c r="K114" s="6">
        <v>14</v>
      </c>
      <c r="L114" s="6">
        <v>1</v>
      </c>
      <c r="M114" s="5">
        <f t="shared" si="6"/>
        <v>15</v>
      </c>
      <c r="N114" s="6">
        <v>1</v>
      </c>
      <c r="O114" s="6">
        <v>14</v>
      </c>
      <c r="P114" s="10">
        <f t="shared" si="7"/>
        <v>6.6666666666666666E-2</v>
      </c>
      <c r="Q114" s="7" t="s">
        <v>60</v>
      </c>
      <c r="R114" s="11">
        <f t="shared" si="8"/>
        <v>45682</v>
      </c>
      <c r="S114" s="5">
        <f t="shared" si="9"/>
        <v>2025</v>
      </c>
      <c r="T114" s="5">
        <f t="shared" si="10"/>
        <v>4</v>
      </c>
      <c r="U114" s="5" t="str">
        <f t="shared" si="11"/>
        <v>2024-25</v>
      </c>
    </row>
    <row r="115" spans="1:21" x14ac:dyDescent="0.2">
      <c r="A115" s="8">
        <v>45684</v>
      </c>
      <c r="B115" s="6">
        <v>1</v>
      </c>
      <c r="C115" s="6">
        <v>19</v>
      </c>
      <c r="D115" s="6">
        <v>12</v>
      </c>
      <c r="E115" s="6">
        <v>0</v>
      </c>
      <c r="F115" s="6">
        <v>0</v>
      </c>
      <c r="G115" s="6">
        <v>24</v>
      </c>
      <c r="H115" s="6">
        <v>16</v>
      </c>
      <c r="I115" s="6">
        <v>11</v>
      </c>
      <c r="J115" s="6">
        <v>9</v>
      </c>
      <c r="K115" s="6">
        <v>22</v>
      </c>
      <c r="L115" s="6">
        <v>2</v>
      </c>
      <c r="M115" s="5">
        <f t="shared" si="6"/>
        <v>24</v>
      </c>
      <c r="N115" s="6">
        <v>7</v>
      </c>
      <c r="O115" s="6">
        <v>17</v>
      </c>
      <c r="P115" s="10">
        <f t="shared" si="7"/>
        <v>0.29166666666666669</v>
      </c>
      <c r="Q115" s="7" t="s">
        <v>60</v>
      </c>
      <c r="R115" s="11">
        <f t="shared" si="8"/>
        <v>45689</v>
      </c>
      <c r="S115" s="5">
        <f t="shared" si="9"/>
        <v>2025</v>
      </c>
      <c r="T115" s="5">
        <f t="shared" si="10"/>
        <v>5</v>
      </c>
      <c r="U115" s="5" t="str">
        <f t="shared" si="11"/>
        <v>2024-25</v>
      </c>
    </row>
    <row r="116" spans="1:21" x14ac:dyDescent="0.2">
      <c r="A116" s="8">
        <v>45691</v>
      </c>
      <c r="B116" s="6">
        <v>4</v>
      </c>
      <c r="C116" s="6">
        <v>22</v>
      </c>
      <c r="D116" s="6">
        <v>7</v>
      </c>
      <c r="E116" s="6">
        <v>1</v>
      </c>
      <c r="F116" s="6">
        <v>1</v>
      </c>
      <c r="G116" s="6">
        <v>26</v>
      </c>
      <c r="H116" s="6">
        <v>16</v>
      </c>
      <c r="I116" s="6">
        <v>6</v>
      </c>
      <c r="J116" s="6">
        <v>6</v>
      </c>
      <c r="K116" s="6">
        <v>23</v>
      </c>
      <c r="L116" s="6">
        <v>3</v>
      </c>
      <c r="M116" s="5">
        <f t="shared" si="6"/>
        <v>26</v>
      </c>
      <c r="N116" s="6">
        <v>7</v>
      </c>
      <c r="O116" s="6">
        <v>19</v>
      </c>
      <c r="P116" s="10">
        <f t="shared" si="7"/>
        <v>0.26923076923076922</v>
      </c>
      <c r="Q116" s="7" t="s">
        <v>60</v>
      </c>
      <c r="R116" s="11">
        <f t="shared" si="8"/>
        <v>45696</v>
      </c>
      <c r="S116" s="5">
        <f t="shared" si="9"/>
        <v>2025</v>
      </c>
      <c r="T116" s="5">
        <f t="shared" si="10"/>
        <v>6</v>
      </c>
      <c r="U116" s="5" t="str">
        <f t="shared" si="11"/>
        <v>2024-25</v>
      </c>
    </row>
    <row r="117" spans="1:21" x14ac:dyDescent="0.2">
      <c r="A117" s="8">
        <v>45698</v>
      </c>
      <c r="B117" s="6">
        <v>0</v>
      </c>
      <c r="C117" s="6">
        <v>13</v>
      </c>
      <c r="D117" s="6">
        <v>2</v>
      </c>
      <c r="E117" s="6">
        <v>0</v>
      </c>
      <c r="F117" s="6">
        <v>0</v>
      </c>
      <c r="G117" s="6">
        <v>20</v>
      </c>
      <c r="H117" s="6">
        <v>10</v>
      </c>
      <c r="I117" s="6">
        <v>4</v>
      </c>
      <c r="J117" s="6">
        <v>3</v>
      </c>
      <c r="K117" s="6">
        <v>18</v>
      </c>
      <c r="L117" s="6">
        <v>2</v>
      </c>
      <c r="M117" s="5">
        <f t="shared" si="6"/>
        <v>20</v>
      </c>
      <c r="N117" s="6">
        <v>6</v>
      </c>
      <c r="O117" s="6">
        <v>14</v>
      </c>
      <c r="P117" s="10">
        <f t="shared" si="7"/>
        <v>0.3</v>
      </c>
      <c r="Q117" s="7" t="s">
        <v>60</v>
      </c>
      <c r="R117" s="11">
        <f t="shared" si="8"/>
        <v>45703</v>
      </c>
      <c r="S117" s="5">
        <f t="shared" si="9"/>
        <v>2025</v>
      </c>
      <c r="T117" s="5">
        <f t="shared" si="10"/>
        <v>7</v>
      </c>
      <c r="U117" s="5" t="str">
        <f t="shared" si="11"/>
        <v>2024-25</v>
      </c>
    </row>
    <row r="118" spans="1:21" x14ac:dyDescent="0.2">
      <c r="A118" s="8">
        <v>45705</v>
      </c>
      <c r="B118" s="6">
        <v>0</v>
      </c>
      <c r="C118" s="6">
        <v>8</v>
      </c>
      <c r="D118" s="6">
        <v>11</v>
      </c>
      <c r="E118" s="6">
        <v>0</v>
      </c>
      <c r="F118" s="6">
        <v>0</v>
      </c>
      <c r="G118" s="6">
        <v>9</v>
      </c>
      <c r="H118" s="6">
        <v>4</v>
      </c>
      <c r="I118" s="6">
        <v>11</v>
      </c>
      <c r="J118" s="6">
        <v>7</v>
      </c>
      <c r="K118" s="6">
        <v>4</v>
      </c>
      <c r="L118" s="6">
        <v>5</v>
      </c>
      <c r="M118" s="5">
        <f t="shared" si="6"/>
        <v>9</v>
      </c>
      <c r="N118" s="6">
        <v>2</v>
      </c>
      <c r="O118" s="6">
        <v>7</v>
      </c>
      <c r="P118" s="10">
        <f t="shared" si="7"/>
        <v>0.22222222222222221</v>
      </c>
      <c r="Q118" s="7" t="s">
        <v>60</v>
      </c>
      <c r="R118" s="11">
        <f t="shared" si="8"/>
        <v>45710</v>
      </c>
      <c r="S118" s="5">
        <f t="shared" si="9"/>
        <v>2025</v>
      </c>
      <c r="T118" s="5">
        <f t="shared" si="10"/>
        <v>8</v>
      </c>
      <c r="U118" s="5" t="str">
        <f t="shared" si="11"/>
        <v>2024-25</v>
      </c>
    </row>
    <row r="119" spans="1:21" x14ac:dyDescent="0.2">
      <c r="A119" s="8">
        <v>45712</v>
      </c>
      <c r="B119" s="6">
        <v>2</v>
      </c>
      <c r="C119" s="6">
        <v>8</v>
      </c>
      <c r="D119" s="6">
        <v>3</v>
      </c>
      <c r="E119" s="6">
        <v>0</v>
      </c>
      <c r="F119" s="6">
        <v>0</v>
      </c>
      <c r="G119" s="6">
        <v>8</v>
      </c>
      <c r="H119" s="6">
        <v>6</v>
      </c>
      <c r="I119" s="6">
        <v>3</v>
      </c>
      <c r="J119" s="6">
        <v>3</v>
      </c>
      <c r="K119" s="6">
        <v>4</v>
      </c>
      <c r="L119" s="6">
        <v>4</v>
      </c>
      <c r="M119" s="5">
        <f t="shared" si="6"/>
        <v>8</v>
      </c>
      <c r="N119" s="6">
        <v>2</v>
      </c>
      <c r="O119" s="6">
        <v>6</v>
      </c>
      <c r="P119" s="10">
        <f t="shared" si="7"/>
        <v>0.25</v>
      </c>
      <c r="Q119" s="7" t="s">
        <v>60</v>
      </c>
      <c r="R119" s="11">
        <f t="shared" si="8"/>
        <v>45717</v>
      </c>
      <c r="S119" s="5">
        <f t="shared" si="9"/>
        <v>2025</v>
      </c>
      <c r="T119" s="5">
        <f t="shared" si="10"/>
        <v>9</v>
      </c>
      <c r="U119" s="5" t="str">
        <f t="shared" si="11"/>
        <v>2024-25</v>
      </c>
    </row>
    <row r="120" spans="1:21" x14ac:dyDescent="0.2">
      <c r="A120" s="8">
        <v>45719</v>
      </c>
      <c r="B120" s="6">
        <v>1</v>
      </c>
      <c r="C120" s="6">
        <v>2</v>
      </c>
      <c r="D120" s="6">
        <v>8</v>
      </c>
      <c r="E120" s="6">
        <v>0</v>
      </c>
      <c r="F120" s="6">
        <v>0</v>
      </c>
      <c r="G120" s="6">
        <v>4</v>
      </c>
      <c r="H120" s="6">
        <v>1</v>
      </c>
      <c r="I120" s="6">
        <v>8</v>
      </c>
      <c r="J120" s="6">
        <v>7</v>
      </c>
      <c r="K120" s="6">
        <v>3</v>
      </c>
      <c r="L120" s="6">
        <v>1</v>
      </c>
      <c r="M120" s="5">
        <f t="shared" si="6"/>
        <v>4</v>
      </c>
      <c r="N120" s="6">
        <v>1</v>
      </c>
      <c r="O120" s="6">
        <v>3</v>
      </c>
      <c r="P120" s="10">
        <f t="shared" si="7"/>
        <v>0.25</v>
      </c>
      <c r="Q120" s="7" t="s">
        <v>60</v>
      </c>
      <c r="R120" s="11">
        <f t="shared" si="8"/>
        <v>45724</v>
      </c>
      <c r="S120" s="5">
        <f t="shared" si="9"/>
        <v>2025</v>
      </c>
      <c r="T120" s="5">
        <f t="shared" si="10"/>
        <v>10</v>
      </c>
      <c r="U120" s="5" t="str">
        <f t="shared" si="11"/>
        <v>2024-25</v>
      </c>
    </row>
    <row r="121" spans="1:21" x14ac:dyDescent="0.2">
      <c r="A121" s="8">
        <v>45726</v>
      </c>
      <c r="B121" s="6">
        <v>1</v>
      </c>
      <c r="C121" s="6">
        <v>6</v>
      </c>
      <c r="D121" s="6">
        <v>2</v>
      </c>
      <c r="E121" s="6">
        <v>0</v>
      </c>
      <c r="F121" s="6">
        <v>0</v>
      </c>
      <c r="G121" s="6">
        <v>5</v>
      </c>
      <c r="H121" s="6">
        <v>4</v>
      </c>
      <c r="I121" s="6">
        <v>1</v>
      </c>
      <c r="J121" s="6">
        <v>1</v>
      </c>
      <c r="K121" s="6">
        <v>2</v>
      </c>
      <c r="L121" s="6">
        <v>3</v>
      </c>
      <c r="M121" s="5">
        <f t="shared" si="6"/>
        <v>5</v>
      </c>
      <c r="N121" s="6">
        <v>1</v>
      </c>
      <c r="O121" s="6">
        <v>4</v>
      </c>
      <c r="P121" s="10">
        <f t="shared" si="7"/>
        <v>0.2</v>
      </c>
      <c r="Q121" s="7" t="s">
        <v>60</v>
      </c>
      <c r="R121" s="11">
        <f t="shared" si="8"/>
        <v>45731</v>
      </c>
      <c r="S121" s="5">
        <f t="shared" si="9"/>
        <v>2025</v>
      </c>
      <c r="T121" s="5">
        <f t="shared" si="10"/>
        <v>11</v>
      </c>
      <c r="U121" s="5" t="str">
        <f t="shared" si="11"/>
        <v>2024-25</v>
      </c>
    </row>
    <row r="122" spans="1:21" x14ac:dyDescent="0.2">
      <c r="A122" s="8">
        <v>45733</v>
      </c>
      <c r="B122" s="6">
        <v>0</v>
      </c>
      <c r="C122" s="6">
        <v>5</v>
      </c>
      <c r="D122" s="6">
        <v>2</v>
      </c>
      <c r="E122" s="6">
        <v>0</v>
      </c>
      <c r="F122" s="6">
        <v>0</v>
      </c>
      <c r="G122" s="6">
        <v>3</v>
      </c>
      <c r="H122" s="6">
        <v>2</v>
      </c>
      <c r="I122" s="6">
        <v>2</v>
      </c>
      <c r="J122" s="6">
        <v>2</v>
      </c>
      <c r="K122" s="6">
        <v>2</v>
      </c>
      <c r="L122" s="6">
        <v>1</v>
      </c>
      <c r="M122" s="5">
        <f t="shared" si="6"/>
        <v>3</v>
      </c>
      <c r="N122" s="6">
        <v>1</v>
      </c>
      <c r="O122" s="6">
        <v>2</v>
      </c>
      <c r="P122" s="10">
        <f t="shared" si="7"/>
        <v>0.33333333333333331</v>
      </c>
      <c r="Q122" s="7" t="s">
        <v>60</v>
      </c>
      <c r="R122" s="11">
        <f t="shared" si="8"/>
        <v>45738</v>
      </c>
      <c r="S122" s="5">
        <f t="shared" si="9"/>
        <v>2025</v>
      </c>
      <c r="T122" s="5">
        <f t="shared" si="10"/>
        <v>12</v>
      </c>
      <c r="U122" s="5" t="str">
        <f t="shared" si="11"/>
        <v>2024-25</v>
      </c>
    </row>
    <row r="123" spans="1:21" x14ac:dyDescent="0.2">
      <c r="A123" s="8">
        <v>45740</v>
      </c>
      <c r="B123" s="6">
        <v>4</v>
      </c>
      <c r="C123" s="6">
        <v>3</v>
      </c>
      <c r="D123" s="6">
        <v>0</v>
      </c>
      <c r="E123" s="6">
        <v>1</v>
      </c>
      <c r="F123" s="6">
        <v>1</v>
      </c>
      <c r="G123" s="6">
        <v>5</v>
      </c>
      <c r="H123" s="6">
        <v>3</v>
      </c>
      <c r="I123" s="6">
        <v>1</v>
      </c>
      <c r="J123" s="6">
        <v>0</v>
      </c>
      <c r="K123" s="6">
        <v>1</v>
      </c>
      <c r="L123" s="6">
        <v>4</v>
      </c>
      <c r="M123" s="5">
        <f t="shared" si="6"/>
        <v>5</v>
      </c>
      <c r="N123" s="6">
        <v>1</v>
      </c>
      <c r="O123" s="6">
        <v>4</v>
      </c>
      <c r="P123" s="10">
        <f t="shared" si="7"/>
        <v>0.2</v>
      </c>
      <c r="Q123" s="7" t="s">
        <v>60</v>
      </c>
      <c r="R123" s="11">
        <f t="shared" si="8"/>
        <v>45745</v>
      </c>
      <c r="S123" s="5">
        <f t="shared" si="9"/>
        <v>2025</v>
      </c>
      <c r="T123" s="5">
        <f t="shared" si="10"/>
        <v>13</v>
      </c>
      <c r="U123" s="5" t="str">
        <f t="shared" si="11"/>
        <v>2024-25</v>
      </c>
    </row>
    <row r="124" spans="1:21" x14ac:dyDescent="0.2">
      <c r="A124" s="8">
        <v>45747</v>
      </c>
      <c r="B124" s="6">
        <v>1</v>
      </c>
      <c r="C124" s="6">
        <v>6</v>
      </c>
      <c r="D124" s="6">
        <v>0</v>
      </c>
      <c r="E124" s="6"/>
      <c r="F124" s="6"/>
      <c r="G124" s="6"/>
      <c r="H124" s="6"/>
      <c r="I124" s="6"/>
      <c r="J124" s="6"/>
      <c r="K124" s="6"/>
      <c r="L124" s="6"/>
      <c r="M124" s="5" t="str">
        <f t="shared" si="6"/>
        <v/>
      </c>
      <c r="N124" s="6"/>
      <c r="O124" s="6"/>
      <c r="P124" s="10" t="str">
        <f t="shared" si="7"/>
        <v/>
      </c>
      <c r="Q124" s="7"/>
      <c r="R124" s="11">
        <f t="shared" si="8"/>
        <v>45752</v>
      </c>
      <c r="S124" s="5">
        <f t="shared" si="9"/>
        <v>2025</v>
      </c>
      <c r="T124" s="5">
        <f t="shared" si="10"/>
        <v>14</v>
      </c>
      <c r="U124" s="5" t="str">
        <f t="shared" si="11"/>
        <v>2024-25</v>
      </c>
    </row>
    <row r="125" spans="1:21" x14ac:dyDescent="0.2">
      <c r="A125" s="8">
        <v>45754</v>
      </c>
      <c r="B125" s="6">
        <v>1</v>
      </c>
      <c r="C125" s="6">
        <v>1</v>
      </c>
      <c r="D125" s="6">
        <v>1</v>
      </c>
      <c r="E125" s="6"/>
      <c r="F125" s="6"/>
      <c r="G125" s="6"/>
      <c r="H125" s="6"/>
      <c r="I125" s="6"/>
      <c r="J125" s="6"/>
      <c r="K125" s="6"/>
      <c r="L125" s="6"/>
      <c r="M125" s="5" t="str">
        <f t="shared" si="6"/>
        <v/>
      </c>
      <c r="N125" s="6"/>
      <c r="O125" s="6"/>
      <c r="P125" s="10" t="str">
        <f t="shared" si="7"/>
        <v/>
      </c>
      <c r="Q125" s="7"/>
      <c r="R125" s="11">
        <f t="shared" si="8"/>
        <v>45759</v>
      </c>
      <c r="S125" s="5">
        <f t="shared" si="9"/>
        <v>2025</v>
      </c>
      <c r="T125" s="5">
        <f t="shared" si="10"/>
        <v>15</v>
      </c>
      <c r="U125" s="5" t="str">
        <f t="shared" si="11"/>
        <v>2024-25</v>
      </c>
    </row>
    <row r="126" spans="1:21" x14ac:dyDescent="0.2">
      <c r="A126" s="8">
        <v>45761</v>
      </c>
      <c r="B126" s="6">
        <v>4</v>
      </c>
      <c r="C126" s="6">
        <v>0</v>
      </c>
      <c r="D126" s="6">
        <v>0</v>
      </c>
      <c r="E126" s="6"/>
      <c r="F126" s="6"/>
      <c r="G126" s="6"/>
      <c r="H126" s="6"/>
      <c r="I126" s="6"/>
      <c r="J126" s="6"/>
      <c r="K126" s="6"/>
      <c r="L126" s="6"/>
      <c r="M126" s="5" t="str">
        <f t="shared" si="6"/>
        <v/>
      </c>
      <c r="N126" s="6"/>
      <c r="O126" s="6"/>
      <c r="P126" s="10" t="str">
        <f t="shared" si="7"/>
        <v/>
      </c>
      <c r="Q126" s="7"/>
      <c r="R126" s="11">
        <f t="shared" si="8"/>
        <v>45766</v>
      </c>
      <c r="S126" s="5">
        <f t="shared" si="9"/>
        <v>2025</v>
      </c>
      <c r="T126" s="5">
        <f t="shared" si="10"/>
        <v>16</v>
      </c>
      <c r="U126" s="5" t="str">
        <f t="shared" si="11"/>
        <v>2024-25</v>
      </c>
    </row>
    <row r="127" spans="1:21" x14ac:dyDescent="0.2">
      <c r="A127" s="8">
        <v>45768</v>
      </c>
      <c r="B127" s="6">
        <v>1</v>
      </c>
      <c r="C127" s="6">
        <v>2</v>
      </c>
      <c r="D127" s="6">
        <v>1</v>
      </c>
      <c r="E127" s="6"/>
      <c r="F127" s="6"/>
      <c r="G127" s="6"/>
      <c r="H127" s="6"/>
      <c r="I127" s="6"/>
      <c r="J127" s="6"/>
      <c r="K127" s="6"/>
      <c r="L127" s="6"/>
      <c r="M127" s="5" t="str">
        <f t="shared" si="6"/>
        <v/>
      </c>
      <c r="N127" s="6"/>
      <c r="O127" s="6"/>
      <c r="P127" s="10" t="str">
        <f t="shared" si="7"/>
        <v/>
      </c>
      <c r="Q127" s="7"/>
      <c r="R127" s="11">
        <f t="shared" si="8"/>
        <v>45773</v>
      </c>
      <c r="S127" s="5">
        <f t="shared" si="9"/>
        <v>2025</v>
      </c>
      <c r="T127" s="5">
        <f t="shared" si="10"/>
        <v>17</v>
      </c>
      <c r="U127" s="5" t="str">
        <f t="shared" si="11"/>
        <v>2024-25</v>
      </c>
    </row>
    <row r="128" spans="1:21" x14ac:dyDescent="0.2">
      <c r="A128" s="8">
        <v>45775</v>
      </c>
      <c r="B128" s="6">
        <v>2</v>
      </c>
      <c r="C128" s="6">
        <v>0</v>
      </c>
      <c r="D128" s="6">
        <v>0</v>
      </c>
      <c r="E128" s="6"/>
      <c r="F128" s="6"/>
      <c r="G128" s="6"/>
      <c r="H128" s="6"/>
      <c r="I128" s="6"/>
      <c r="J128" s="6"/>
      <c r="K128" s="6"/>
      <c r="L128" s="6"/>
      <c r="M128" s="5" t="str">
        <f t="shared" si="6"/>
        <v/>
      </c>
      <c r="N128" s="6"/>
      <c r="O128" s="6"/>
      <c r="P128" s="10" t="str">
        <f t="shared" si="7"/>
        <v/>
      </c>
      <c r="Q128" s="7"/>
      <c r="R128" s="11">
        <f t="shared" si="8"/>
        <v>45780</v>
      </c>
      <c r="S128" s="5">
        <f t="shared" si="9"/>
        <v>2025</v>
      </c>
      <c r="T128" s="5">
        <f t="shared" si="10"/>
        <v>18</v>
      </c>
      <c r="U128" s="5" t="str">
        <f t="shared" si="11"/>
        <v>2024-25</v>
      </c>
    </row>
    <row r="129" spans="1:21" x14ac:dyDescent="0.2">
      <c r="A129" s="8">
        <v>45782</v>
      </c>
      <c r="B129" s="6">
        <v>1</v>
      </c>
      <c r="C129" s="6">
        <v>0</v>
      </c>
      <c r="D129" s="6">
        <v>0</v>
      </c>
      <c r="E129" s="6"/>
      <c r="F129" s="6"/>
      <c r="G129" s="6"/>
      <c r="H129" s="6"/>
      <c r="I129" s="6"/>
      <c r="J129" s="6"/>
      <c r="K129" s="6"/>
      <c r="L129" s="6"/>
      <c r="M129" s="5" t="str">
        <f t="shared" si="6"/>
        <v/>
      </c>
      <c r="N129" s="6"/>
      <c r="O129" s="6"/>
      <c r="P129" s="10" t="str">
        <f t="shared" si="7"/>
        <v/>
      </c>
      <c r="Q129" s="7"/>
      <c r="R129" s="11">
        <f t="shared" si="8"/>
        <v>45787</v>
      </c>
      <c r="S129" s="5">
        <f t="shared" si="9"/>
        <v>2025</v>
      </c>
      <c r="T129" s="5">
        <f t="shared" si="10"/>
        <v>19</v>
      </c>
      <c r="U129" s="5" t="str">
        <f t="shared" si="11"/>
        <v>2024-25</v>
      </c>
    </row>
    <row r="130" spans="1:21" x14ac:dyDescent="0.2">
      <c r="A130" s="8">
        <v>45789</v>
      </c>
      <c r="B130" s="6">
        <v>0</v>
      </c>
      <c r="C130" s="6">
        <v>1</v>
      </c>
      <c r="D130" s="6">
        <v>0</v>
      </c>
      <c r="E130" s="6"/>
      <c r="F130" s="6"/>
      <c r="G130" s="6"/>
      <c r="H130" s="6"/>
      <c r="I130" s="6"/>
      <c r="J130" s="6"/>
      <c r="K130" s="6"/>
      <c r="L130" s="6"/>
      <c r="M130" s="5" t="str">
        <f t="shared" ref="M130:M193" si="12">IF(AND(K130="",L130=""),"",SUM(K130:L130))</f>
        <v/>
      </c>
      <c r="N130" s="6"/>
      <c r="O130" s="6"/>
      <c r="P130" s="10" t="str">
        <f t="shared" ref="P130:P193" si="13">IF(OR(M130="",M130=0),"",IF(N130="",0,N130)/M130)</f>
        <v/>
      </c>
      <c r="Q130" s="7"/>
      <c r="R130" s="11">
        <f t="shared" ref="R130:R193" si="14">A130+5</f>
        <v>45794</v>
      </c>
      <c r="S130" s="5">
        <f t="shared" ref="S130:S193" si="15">IF(R130&gt;=DATE(YEAR(R130)+1,1,4)-WEEKDAY(DATE(YEAR(R130)+1,1,4))+1,YEAR(R130)+1,IF(R130&lt;DATE(YEAR(R130),1,4)-WEEKDAY(DATE(YEAR(R130),1,4))+1,YEAR(R130)-1,YEAR(R130)))</f>
        <v>2025</v>
      </c>
      <c r="T130" s="5">
        <f t="shared" ref="T130:T193" si="16">INT((R130-(DATE(S130,1,4)-WEEKDAY(DATE(S130,1,4))+1))/7)+1</f>
        <v>20</v>
      </c>
      <c r="U130" s="5" t="str">
        <f t="shared" ref="U130:U193" si="17">IF(T130&gt;=36,S130&amp;"-"&amp;RIGHT(S130+1,2),(S130-1)&amp;"-"&amp;RIGHT(S130,2))</f>
        <v>2024-25</v>
      </c>
    </row>
    <row r="131" spans="1:21" x14ac:dyDescent="0.2">
      <c r="A131" s="8">
        <v>45796</v>
      </c>
      <c r="B131" s="6">
        <v>1</v>
      </c>
      <c r="C131" s="6">
        <v>1</v>
      </c>
      <c r="D131" s="6">
        <v>0</v>
      </c>
      <c r="E131" s="6"/>
      <c r="F131" s="6"/>
      <c r="G131" s="6"/>
      <c r="H131" s="6"/>
      <c r="I131" s="6"/>
      <c r="J131" s="6"/>
      <c r="K131" s="6"/>
      <c r="L131" s="6"/>
      <c r="M131" s="5" t="str">
        <f t="shared" si="12"/>
        <v/>
      </c>
      <c r="N131" s="6"/>
      <c r="O131" s="6"/>
      <c r="P131" s="10" t="str">
        <f t="shared" si="13"/>
        <v/>
      </c>
      <c r="Q131" s="7"/>
      <c r="R131" s="11">
        <f t="shared" si="14"/>
        <v>45801</v>
      </c>
      <c r="S131" s="5">
        <f t="shared" si="15"/>
        <v>2025</v>
      </c>
      <c r="T131" s="5">
        <f t="shared" si="16"/>
        <v>21</v>
      </c>
      <c r="U131" s="5" t="str">
        <f t="shared" si="17"/>
        <v>2024-25</v>
      </c>
    </row>
    <row r="132" spans="1:21" x14ac:dyDescent="0.2">
      <c r="A132" s="8">
        <v>45803</v>
      </c>
      <c r="B132" s="6">
        <v>1</v>
      </c>
      <c r="C132" s="6">
        <v>2</v>
      </c>
      <c r="D132" s="6">
        <v>0</v>
      </c>
      <c r="E132" s="6"/>
      <c r="F132" s="6"/>
      <c r="G132" s="6"/>
      <c r="H132" s="6"/>
      <c r="I132" s="6"/>
      <c r="J132" s="6"/>
      <c r="K132" s="6"/>
      <c r="L132" s="6"/>
      <c r="M132" s="5" t="str">
        <f t="shared" si="12"/>
        <v/>
      </c>
      <c r="N132" s="6"/>
      <c r="O132" s="6"/>
      <c r="P132" s="10" t="str">
        <f t="shared" si="13"/>
        <v/>
      </c>
      <c r="Q132" s="7"/>
      <c r="R132" s="11">
        <f t="shared" si="14"/>
        <v>45808</v>
      </c>
      <c r="S132" s="5">
        <f t="shared" si="15"/>
        <v>2025</v>
      </c>
      <c r="T132" s="5">
        <f t="shared" si="16"/>
        <v>22</v>
      </c>
      <c r="U132" s="5" t="str">
        <f t="shared" si="17"/>
        <v>2024-25</v>
      </c>
    </row>
    <row r="133" spans="1:21" x14ac:dyDescent="0.2">
      <c r="A133" s="8">
        <v>45810</v>
      </c>
      <c r="B133" s="6">
        <v>0</v>
      </c>
      <c r="C133" s="6">
        <v>29</v>
      </c>
      <c r="D133" s="6">
        <v>0</v>
      </c>
      <c r="E133" s="6"/>
      <c r="F133" s="6"/>
      <c r="G133" s="6"/>
      <c r="H133" s="6"/>
      <c r="I133" s="6"/>
      <c r="J133" s="6"/>
      <c r="K133" s="6"/>
      <c r="L133" s="6"/>
      <c r="M133" s="5" t="str">
        <f t="shared" si="12"/>
        <v/>
      </c>
      <c r="N133" s="6"/>
      <c r="O133" s="6"/>
      <c r="P133" s="10" t="str">
        <f t="shared" si="13"/>
        <v/>
      </c>
      <c r="Q133" s="7"/>
      <c r="R133" s="11">
        <f t="shared" si="14"/>
        <v>45815</v>
      </c>
      <c r="S133" s="5">
        <f t="shared" si="15"/>
        <v>2025</v>
      </c>
      <c r="T133" s="5">
        <f t="shared" si="16"/>
        <v>23</v>
      </c>
      <c r="U133" s="5" t="str">
        <f t="shared" si="17"/>
        <v>2024-25</v>
      </c>
    </row>
    <row r="134" spans="1:21" x14ac:dyDescent="0.2">
      <c r="A134" s="8">
        <v>45817</v>
      </c>
      <c r="B134" s="6">
        <v>0</v>
      </c>
      <c r="C134" s="6">
        <v>26</v>
      </c>
      <c r="D134" s="6">
        <v>0</v>
      </c>
      <c r="E134" s="6"/>
      <c r="F134" s="6"/>
      <c r="G134" s="6"/>
      <c r="H134" s="6"/>
      <c r="I134" s="6"/>
      <c r="J134" s="6"/>
      <c r="K134" s="6"/>
      <c r="L134" s="6"/>
      <c r="M134" s="5" t="str">
        <f t="shared" si="12"/>
        <v/>
      </c>
      <c r="N134" s="6"/>
      <c r="O134" s="6"/>
      <c r="P134" s="10" t="str">
        <f t="shared" si="13"/>
        <v/>
      </c>
      <c r="Q134" s="7"/>
      <c r="R134" s="11">
        <f t="shared" si="14"/>
        <v>45822</v>
      </c>
      <c r="S134" s="5">
        <f t="shared" si="15"/>
        <v>2025</v>
      </c>
      <c r="T134" s="5">
        <f t="shared" si="16"/>
        <v>24</v>
      </c>
      <c r="U134" s="5" t="str">
        <f t="shared" si="17"/>
        <v>2024-25</v>
      </c>
    </row>
    <row r="135" spans="1:21" x14ac:dyDescent="0.2">
      <c r="A135" s="8">
        <v>45824</v>
      </c>
      <c r="B135" s="6">
        <v>1</v>
      </c>
      <c r="C135" s="6">
        <v>6</v>
      </c>
      <c r="D135" s="6">
        <v>0</v>
      </c>
      <c r="E135" s="6"/>
      <c r="F135" s="6"/>
      <c r="G135" s="6"/>
      <c r="H135" s="6"/>
      <c r="I135" s="6"/>
      <c r="J135" s="6"/>
      <c r="K135" s="6"/>
      <c r="L135" s="6"/>
      <c r="M135" s="5" t="str">
        <f t="shared" si="12"/>
        <v/>
      </c>
      <c r="N135" s="6"/>
      <c r="O135" s="6"/>
      <c r="P135" s="10" t="str">
        <f t="shared" si="13"/>
        <v/>
      </c>
      <c r="Q135" s="7"/>
      <c r="R135" s="11">
        <f t="shared" si="14"/>
        <v>45829</v>
      </c>
      <c r="S135" s="5">
        <f t="shared" si="15"/>
        <v>2025</v>
      </c>
      <c r="T135" s="5">
        <f t="shared" si="16"/>
        <v>25</v>
      </c>
      <c r="U135" s="5" t="str">
        <f t="shared" si="17"/>
        <v>2024-25</v>
      </c>
    </row>
    <row r="136" spans="1:21" x14ac:dyDescent="0.2">
      <c r="A136" s="8">
        <v>45831</v>
      </c>
      <c r="B136" s="6">
        <v>0</v>
      </c>
      <c r="C136" s="6">
        <v>5</v>
      </c>
      <c r="D136" s="6">
        <v>1</v>
      </c>
      <c r="E136" s="6"/>
      <c r="F136" s="6"/>
      <c r="G136" s="6"/>
      <c r="H136" s="6"/>
      <c r="I136" s="6"/>
      <c r="J136" s="6"/>
      <c r="K136" s="6"/>
      <c r="L136" s="6"/>
      <c r="M136" s="5" t="str">
        <f t="shared" si="12"/>
        <v/>
      </c>
      <c r="N136" s="6"/>
      <c r="O136" s="6"/>
      <c r="P136" s="10" t="str">
        <f t="shared" si="13"/>
        <v/>
      </c>
      <c r="Q136" s="7"/>
      <c r="R136" s="11">
        <f t="shared" si="14"/>
        <v>45836</v>
      </c>
      <c r="S136" s="5">
        <f t="shared" si="15"/>
        <v>2025</v>
      </c>
      <c r="T136" s="5">
        <f t="shared" si="16"/>
        <v>26</v>
      </c>
      <c r="U136" s="5" t="str">
        <f t="shared" si="17"/>
        <v>2024-25</v>
      </c>
    </row>
    <row r="137" spans="1:21" x14ac:dyDescent="0.2">
      <c r="A137" s="8">
        <v>45838</v>
      </c>
      <c r="B137" s="6">
        <v>0</v>
      </c>
      <c r="C137" s="6">
        <v>0</v>
      </c>
      <c r="D137" s="6">
        <v>0</v>
      </c>
      <c r="E137" s="6"/>
      <c r="F137" s="6"/>
      <c r="G137" s="6"/>
      <c r="H137" s="6"/>
      <c r="I137" s="6"/>
      <c r="J137" s="6"/>
      <c r="K137" s="6"/>
      <c r="L137" s="6"/>
      <c r="M137" s="5" t="str">
        <f t="shared" si="12"/>
        <v/>
      </c>
      <c r="N137" s="6"/>
      <c r="O137" s="6"/>
      <c r="P137" s="10" t="str">
        <f t="shared" si="13"/>
        <v/>
      </c>
      <c r="Q137" s="7"/>
      <c r="R137" s="11">
        <f t="shared" si="14"/>
        <v>45843</v>
      </c>
      <c r="S137" s="5">
        <f t="shared" si="15"/>
        <v>2025</v>
      </c>
      <c r="T137" s="5">
        <f t="shared" si="16"/>
        <v>27</v>
      </c>
      <c r="U137" s="5" t="str">
        <f t="shared" si="17"/>
        <v>2024-25</v>
      </c>
    </row>
    <row r="138" spans="1:21" x14ac:dyDescent="0.2">
      <c r="A138" s="8">
        <v>45845</v>
      </c>
      <c r="B138" s="6">
        <v>2</v>
      </c>
      <c r="C138" s="6">
        <v>0</v>
      </c>
      <c r="D138" s="6">
        <v>0</v>
      </c>
      <c r="E138" s="6"/>
      <c r="F138" s="6"/>
      <c r="G138" s="6"/>
      <c r="H138" s="6"/>
      <c r="I138" s="6"/>
      <c r="J138" s="6"/>
      <c r="K138" s="6"/>
      <c r="L138" s="6"/>
      <c r="M138" s="5" t="str">
        <f t="shared" si="12"/>
        <v/>
      </c>
      <c r="N138" s="6"/>
      <c r="O138" s="6"/>
      <c r="P138" s="10" t="str">
        <f t="shared" si="13"/>
        <v/>
      </c>
      <c r="Q138" s="7"/>
      <c r="R138" s="11">
        <f t="shared" si="14"/>
        <v>45850</v>
      </c>
      <c r="S138" s="5">
        <f t="shared" si="15"/>
        <v>2025</v>
      </c>
      <c r="T138" s="5">
        <f t="shared" si="16"/>
        <v>28</v>
      </c>
      <c r="U138" s="5" t="str">
        <f t="shared" si="17"/>
        <v>2024-25</v>
      </c>
    </row>
    <row r="139" spans="1:21" x14ac:dyDescent="0.2">
      <c r="A139" s="8">
        <v>45852</v>
      </c>
      <c r="B139" s="6">
        <v>3</v>
      </c>
      <c r="C139" s="6">
        <v>0</v>
      </c>
      <c r="D139" s="6">
        <v>0</v>
      </c>
      <c r="E139" s="6"/>
      <c r="F139" s="6"/>
      <c r="G139" s="6"/>
      <c r="H139" s="6"/>
      <c r="I139" s="6"/>
      <c r="J139" s="6"/>
      <c r="K139" s="6"/>
      <c r="L139" s="6"/>
      <c r="M139" s="5" t="str">
        <f t="shared" si="12"/>
        <v/>
      </c>
      <c r="N139" s="6"/>
      <c r="O139" s="6"/>
      <c r="P139" s="10" t="str">
        <f t="shared" si="13"/>
        <v/>
      </c>
      <c r="Q139" s="7"/>
      <c r="R139" s="11">
        <f t="shared" si="14"/>
        <v>45857</v>
      </c>
      <c r="S139" s="5">
        <f t="shared" si="15"/>
        <v>2025</v>
      </c>
      <c r="T139" s="5">
        <f t="shared" si="16"/>
        <v>29</v>
      </c>
      <c r="U139" s="5" t="str">
        <f t="shared" si="17"/>
        <v>2024-25</v>
      </c>
    </row>
    <row r="140" spans="1:21" x14ac:dyDescent="0.2">
      <c r="A140" s="8">
        <v>45859</v>
      </c>
      <c r="B140" s="6">
        <v>2</v>
      </c>
      <c r="C140" s="6">
        <v>0</v>
      </c>
      <c r="D140" s="6">
        <v>0</v>
      </c>
      <c r="E140" s="6"/>
      <c r="F140" s="6"/>
      <c r="G140" s="6"/>
      <c r="H140" s="6"/>
      <c r="I140" s="6"/>
      <c r="J140" s="6"/>
      <c r="K140" s="6"/>
      <c r="L140" s="6"/>
      <c r="M140" s="5" t="str">
        <f t="shared" si="12"/>
        <v/>
      </c>
      <c r="N140" s="6"/>
      <c r="O140" s="6"/>
      <c r="P140" s="10" t="str">
        <f t="shared" si="13"/>
        <v/>
      </c>
      <c r="Q140" s="7"/>
      <c r="R140" s="11">
        <f t="shared" si="14"/>
        <v>45864</v>
      </c>
      <c r="S140" s="5">
        <f t="shared" si="15"/>
        <v>2025</v>
      </c>
      <c r="T140" s="5">
        <f t="shared" si="16"/>
        <v>30</v>
      </c>
      <c r="U140" s="5" t="str">
        <f t="shared" si="17"/>
        <v>2024-25</v>
      </c>
    </row>
    <row r="141" spans="1:21" x14ac:dyDescent="0.2">
      <c r="A141" s="8">
        <v>45866</v>
      </c>
      <c r="B141" s="6">
        <v>1</v>
      </c>
      <c r="C141" s="6">
        <v>0</v>
      </c>
      <c r="D141" s="6">
        <v>0</v>
      </c>
      <c r="E141" s="6"/>
      <c r="F141" s="6"/>
      <c r="G141" s="6"/>
      <c r="H141" s="6"/>
      <c r="I141" s="6"/>
      <c r="J141" s="6"/>
      <c r="K141" s="6"/>
      <c r="L141" s="6"/>
      <c r="M141" s="5" t="str">
        <f t="shared" si="12"/>
        <v/>
      </c>
      <c r="N141" s="6"/>
      <c r="O141" s="6"/>
      <c r="P141" s="10" t="str">
        <f t="shared" si="13"/>
        <v/>
      </c>
      <c r="Q141" s="7"/>
      <c r="R141" s="11">
        <f t="shared" si="14"/>
        <v>45871</v>
      </c>
      <c r="S141" s="5">
        <f t="shared" si="15"/>
        <v>2025</v>
      </c>
      <c r="T141" s="5">
        <f t="shared" si="16"/>
        <v>31</v>
      </c>
      <c r="U141" s="5" t="str">
        <f t="shared" si="17"/>
        <v>2024-25</v>
      </c>
    </row>
    <row r="142" spans="1:21" x14ac:dyDescent="0.2">
      <c r="A142" s="8">
        <v>45873</v>
      </c>
      <c r="B142" s="6">
        <v>1</v>
      </c>
      <c r="C142" s="6">
        <v>1</v>
      </c>
      <c r="D142" s="6">
        <v>0</v>
      </c>
      <c r="E142" s="6"/>
      <c r="F142" s="6"/>
      <c r="G142" s="6"/>
      <c r="H142" s="6"/>
      <c r="I142" s="6"/>
      <c r="J142" s="6"/>
      <c r="K142" s="6"/>
      <c r="L142" s="6"/>
      <c r="M142" s="5" t="str">
        <f t="shared" si="12"/>
        <v/>
      </c>
      <c r="N142" s="6"/>
      <c r="O142" s="6"/>
      <c r="P142" s="10" t="str">
        <f t="shared" si="13"/>
        <v/>
      </c>
      <c r="Q142" s="7"/>
      <c r="R142" s="11">
        <f t="shared" si="14"/>
        <v>45878</v>
      </c>
      <c r="S142" s="5">
        <f t="shared" si="15"/>
        <v>2025</v>
      </c>
      <c r="T142" s="5">
        <f t="shared" si="16"/>
        <v>32</v>
      </c>
      <c r="U142" s="5" t="str">
        <f t="shared" si="17"/>
        <v>2024-25</v>
      </c>
    </row>
    <row r="143" spans="1:21" x14ac:dyDescent="0.2">
      <c r="A143" s="8">
        <v>45880</v>
      </c>
      <c r="B143" s="6">
        <v>4</v>
      </c>
      <c r="C143" s="6">
        <v>0</v>
      </c>
      <c r="D143" s="6">
        <v>0</v>
      </c>
      <c r="E143" s="6"/>
      <c r="F143" s="6"/>
      <c r="G143" s="6"/>
      <c r="H143" s="6"/>
      <c r="I143" s="6"/>
      <c r="J143" s="6"/>
      <c r="K143" s="6"/>
      <c r="L143" s="6"/>
      <c r="M143" s="5" t="str">
        <f t="shared" si="12"/>
        <v/>
      </c>
      <c r="N143" s="6"/>
      <c r="O143" s="6"/>
      <c r="P143" s="10" t="str">
        <f t="shared" si="13"/>
        <v/>
      </c>
      <c r="Q143" s="7"/>
      <c r="R143" s="11">
        <f t="shared" si="14"/>
        <v>45885</v>
      </c>
      <c r="S143" s="5">
        <f t="shared" si="15"/>
        <v>2025</v>
      </c>
      <c r="T143" s="5">
        <f t="shared" si="16"/>
        <v>33</v>
      </c>
      <c r="U143" s="5" t="str">
        <f t="shared" si="17"/>
        <v>2024-25</v>
      </c>
    </row>
    <row r="144" spans="1:21" x14ac:dyDescent="0.2">
      <c r="A144" s="8">
        <v>45887</v>
      </c>
      <c r="B144" s="6">
        <v>1</v>
      </c>
      <c r="C144" s="6">
        <v>0</v>
      </c>
      <c r="D144" s="6">
        <v>0</v>
      </c>
      <c r="E144" s="6"/>
      <c r="F144" s="6"/>
      <c r="G144" s="6"/>
      <c r="H144" s="6"/>
      <c r="I144" s="6"/>
      <c r="J144" s="6"/>
      <c r="K144" s="6"/>
      <c r="L144" s="6"/>
      <c r="M144" s="5" t="str">
        <f t="shared" si="12"/>
        <v/>
      </c>
      <c r="N144" s="6"/>
      <c r="O144" s="6"/>
      <c r="P144" s="10" t="str">
        <f t="shared" si="13"/>
        <v/>
      </c>
      <c r="Q144" s="7"/>
      <c r="R144" s="11">
        <f t="shared" si="14"/>
        <v>45892</v>
      </c>
      <c r="S144" s="5">
        <f t="shared" si="15"/>
        <v>2025</v>
      </c>
      <c r="T144" s="5">
        <f t="shared" si="16"/>
        <v>34</v>
      </c>
      <c r="U144" s="5" t="str">
        <f t="shared" si="17"/>
        <v>2024-25</v>
      </c>
    </row>
    <row r="145" spans="1:21" x14ac:dyDescent="0.2">
      <c r="A145" s="8">
        <v>45894</v>
      </c>
      <c r="B145" s="6">
        <v>6</v>
      </c>
      <c r="C145" s="6">
        <v>0</v>
      </c>
      <c r="D145" s="6">
        <v>0</v>
      </c>
      <c r="E145" s="6"/>
      <c r="F145" s="6"/>
      <c r="G145" s="6"/>
      <c r="H145" s="6"/>
      <c r="I145" s="6"/>
      <c r="J145" s="6"/>
      <c r="K145" s="6"/>
      <c r="L145" s="6"/>
      <c r="M145" s="5" t="str">
        <f t="shared" si="12"/>
        <v/>
      </c>
      <c r="N145" s="6"/>
      <c r="O145" s="6"/>
      <c r="P145" s="10" t="str">
        <f t="shared" si="13"/>
        <v/>
      </c>
      <c r="Q145" s="7"/>
      <c r="R145" s="11">
        <f t="shared" si="14"/>
        <v>45899</v>
      </c>
      <c r="S145" s="5">
        <f t="shared" si="15"/>
        <v>2025</v>
      </c>
      <c r="T145" s="5">
        <f t="shared" si="16"/>
        <v>35</v>
      </c>
      <c r="U145" s="5" t="str">
        <f t="shared" si="17"/>
        <v>2024-25</v>
      </c>
    </row>
    <row r="146" spans="1:21" x14ac:dyDescent="0.2">
      <c r="A146" s="8">
        <v>45901</v>
      </c>
      <c r="B146" s="6">
        <v>3</v>
      </c>
      <c r="C146" s="6">
        <v>0</v>
      </c>
      <c r="D146" s="6">
        <v>0</v>
      </c>
      <c r="E146" s="6"/>
      <c r="F146" s="6"/>
      <c r="G146" s="6"/>
      <c r="H146" s="6"/>
      <c r="I146" s="6"/>
      <c r="J146" s="6"/>
      <c r="K146" s="6"/>
      <c r="L146" s="6"/>
      <c r="M146" s="5" t="str">
        <f t="shared" si="12"/>
        <v/>
      </c>
      <c r="N146" s="6"/>
      <c r="O146" s="6"/>
      <c r="P146" s="10" t="str">
        <f t="shared" si="13"/>
        <v/>
      </c>
      <c r="Q146" s="7"/>
      <c r="R146" s="11">
        <f t="shared" si="14"/>
        <v>45906</v>
      </c>
      <c r="S146" s="5">
        <f t="shared" si="15"/>
        <v>2025</v>
      </c>
      <c r="T146" s="5">
        <f t="shared" si="16"/>
        <v>36</v>
      </c>
      <c r="U146" s="5" t="str">
        <f t="shared" si="17"/>
        <v>2025-26</v>
      </c>
    </row>
    <row r="147" spans="1:21" x14ac:dyDescent="0.2">
      <c r="A147" s="8">
        <v>45908</v>
      </c>
      <c r="B147" s="6">
        <v>3</v>
      </c>
      <c r="C147" s="6">
        <v>0</v>
      </c>
      <c r="D147" s="6">
        <v>0</v>
      </c>
      <c r="E147" s="6"/>
      <c r="F147" s="6"/>
      <c r="G147" s="6"/>
      <c r="H147" s="6"/>
      <c r="I147" s="6"/>
      <c r="J147" s="6"/>
      <c r="K147" s="6"/>
      <c r="L147" s="6"/>
      <c r="M147" s="5" t="str">
        <f t="shared" si="12"/>
        <v/>
      </c>
      <c r="N147" s="6"/>
      <c r="O147" s="6"/>
      <c r="P147" s="10" t="str">
        <f t="shared" si="13"/>
        <v/>
      </c>
      <c r="Q147" s="7"/>
      <c r="R147" s="11">
        <f t="shared" si="14"/>
        <v>45913</v>
      </c>
      <c r="S147" s="5">
        <f t="shared" si="15"/>
        <v>2025</v>
      </c>
      <c r="T147" s="5">
        <f t="shared" si="16"/>
        <v>37</v>
      </c>
      <c r="U147" s="5" t="str">
        <f t="shared" si="17"/>
        <v>2025-26</v>
      </c>
    </row>
    <row r="148" spans="1:21" x14ac:dyDescent="0.2">
      <c r="A148" s="8">
        <v>45915</v>
      </c>
      <c r="B148" s="6">
        <v>3</v>
      </c>
      <c r="C148" s="6">
        <v>0</v>
      </c>
      <c r="D148" s="6">
        <v>0</v>
      </c>
      <c r="E148" s="6"/>
      <c r="F148" s="6"/>
      <c r="G148" s="6"/>
      <c r="H148" s="6"/>
      <c r="I148" s="6"/>
      <c r="J148" s="6"/>
      <c r="K148" s="6"/>
      <c r="L148" s="6"/>
      <c r="M148" s="5" t="str">
        <f t="shared" si="12"/>
        <v/>
      </c>
      <c r="N148" s="6"/>
      <c r="O148" s="6"/>
      <c r="P148" s="10" t="str">
        <f t="shared" si="13"/>
        <v/>
      </c>
      <c r="Q148" s="7"/>
      <c r="R148" s="11">
        <f t="shared" si="14"/>
        <v>45920</v>
      </c>
      <c r="S148" s="5">
        <f t="shared" si="15"/>
        <v>2025</v>
      </c>
      <c r="T148" s="5">
        <f t="shared" si="16"/>
        <v>38</v>
      </c>
      <c r="U148" s="5" t="str">
        <f t="shared" si="17"/>
        <v>2025-26</v>
      </c>
    </row>
    <row r="149" spans="1:21" x14ac:dyDescent="0.2">
      <c r="A149" s="8">
        <v>45922</v>
      </c>
      <c r="B149" s="6">
        <v>1</v>
      </c>
      <c r="C149" s="6">
        <v>0</v>
      </c>
      <c r="D149" s="6">
        <v>0</v>
      </c>
      <c r="E149" s="6">
        <v>0</v>
      </c>
      <c r="F149" s="6">
        <v>0</v>
      </c>
      <c r="G149" s="6">
        <v>1</v>
      </c>
      <c r="H149" s="6">
        <v>0</v>
      </c>
      <c r="I149" s="6">
        <v>0</v>
      </c>
      <c r="J149" s="6">
        <v>0</v>
      </c>
      <c r="K149" s="6">
        <v>1</v>
      </c>
      <c r="L149" s="6">
        <v>0</v>
      </c>
      <c r="M149" s="5">
        <f t="shared" si="12"/>
        <v>1</v>
      </c>
      <c r="N149" s="6">
        <v>0</v>
      </c>
      <c r="O149" s="6">
        <v>1</v>
      </c>
      <c r="P149" s="10">
        <f t="shared" si="13"/>
        <v>0</v>
      </c>
      <c r="Q149" s="7"/>
      <c r="R149" s="11">
        <f t="shared" si="14"/>
        <v>45927</v>
      </c>
      <c r="S149" s="5">
        <f t="shared" si="15"/>
        <v>2025</v>
      </c>
      <c r="T149" s="5">
        <f t="shared" si="16"/>
        <v>39</v>
      </c>
      <c r="U149" s="5" t="str">
        <f t="shared" si="17"/>
        <v>2025-26</v>
      </c>
    </row>
    <row r="150" spans="1:21" x14ac:dyDescent="0.2">
      <c r="A150" s="8">
        <v>45929</v>
      </c>
      <c r="B150" s="6">
        <v>2</v>
      </c>
      <c r="C150" s="6">
        <v>0</v>
      </c>
      <c r="D150" s="6">
        <v>0</v>
      </c>
      <c r="E150" s="6">
        <v>0</v>
      </c>
      <c r="F150" s="6">
        <v>0</v>
      </c>
      <c r="G150" s="6">
        <v>0</v>
      </c>
      <c r="H150" s="6">
        <v>0</v>
      </c>
      <c r="I150" s="6">
        <v>0</v>
      </c>
      <c r="J150" s="6">
        <v>0</v>
      </c>
      <c r="K150" s="6">
        <v>0</v>
      </c>
      <c r="L150" s="6">
        <v>0</v>
      </c>
      <c r="M150" s="5">
        <f t="shared" si="12"/>
        <v>0</v>
      </c>
      <c r="N150" s="6">
        <v>0</v>
      </c>
      <c r="O150" s="6">
        <v>0</v>
      </c>
      <c r="P150" s="10" t="str">
        <f t="shared" si="13"/>
        <v/>
      </c>
      <c r="Q150" s="7"/>
      <c r="R150" s="11">
        <f t="shared" si="14"/>
        <v>45934</v>
      </c>
      <c r="S150" s="5">
        <f t="shared" si="15"/>
        <v>2025</v>
      </c>
      <c r="T150" s="5">
        <f t="shared" si="16"/>
        <v>40</v>
      </c>
      <c r="U150" s="5" t="str">
        <f t="shared" si="17"/>
        <v>2025-26</v>
      </c>
    </row>
    <row r="151" spans="1:21" x14ac:dyDescent="0.2">
      <c r="A151" s="8">
        <v>45936</v>
      </c>
      <c r="B151" s="6">
        <v>1</v>
      </c>
      <c r="C151" s="6">
        <v>0</v>
      </c>
      <c r="D151" s="6">
        <v>0</v>
      </c>
      <c r="E151" s="6">
        <v>0</v>
      </c>
      <c r="F151" s="6">
        <v>0</v>
      </c>
      <c r="G151" s="6">
        <v>0</v>
      </c>
      <c r="H151" s="6">
        <v>0</v>
      </c>
      <c r="I151" s="6">
        <v>0</v>
      </c>
      <c r="J151" s="6">
        <v>0</v>
      </c>
      <c r="K151" s="6">
        <v>0</v>
      </c>
      <c r="L151" s="6">
        <v>0</v>
      </c>
      <c r="M151" s="5">
        <f t="shared" si="12"/>
        <v>0</v>
      </c>
      <c r="N151" s="6">
        <v>0</v>
      </c>
      <c r="O151" s="6">
        <v>0</v>
      </c>
      <c r="P151" s="10" t="str">
        <f t="shared" si="13"/>
        <v/>
      </c>
      <c r="Q151" s="7"/>
      <c r="R151" s="11">
        <f t="shared" si="14"/>
        <v>45941</v>
      </c>
      <c r="S151" s="5">
        <f t="shared" si="15"/>
        <v>2025</v>
      </c>
      <c r="T151" s="5">
        <f t="shared" si="16"/>
        <v>41</v>
      </c>
      <c r="U151" s="5" t="str">
        <f t="shared" si="17"/>
        <v>2025-26</v>
      </c>
    </row>
    <row r="152" spans="1:21" x14ac:dyDescent="0.2">
      <c r="A152" s="8">
        <v>45943</v>
      </c>
      <c r="B152" s="6">
        <v>0</v>
      </c>
      <c r="C152" s="6">
        <v>0</v>
      </c>
      <c r="D152" s="6">
        <v>0</v>
      </c>
      <c r="E152" s="6">
        <v>0</v>
      </c>
      <c r="F152" s="6">
        <v>0</v>
      </c>
      <c r="G152" s="6">
        <v>0</v>
      </c>
      <c r="H152" s="6">
        <v>0</v>
      </c>
      <c r="I152" s="6">
        <v>0</v>
      </c>
      <c r="J152" s="6">
        <v>0</v>
      </c>
      <c r="K152" s="6">
        <v>0</v>
      </c>
      <c r="L152" s="6">
        <v>0</v>
      </c>
      <c r="M152" s="5">
        <f t="shared" si="12"/>
        <v>0</v>
      </c>
      <c r="N152" s="6">
        <v>0</v>
      </c>
      <c r="O152" s="6">
        <v>0</v>
      </c>
      <c r="P152" s="10" t="str">
        <f t="shared" si="13"/>
        <v/>
      </c>
      <c r="Q152" s="7"/>
      <c r="R152" s="11">
        <f t="shared" si="14"/>
        <v>45948</v>
      </c>
      <c r="S152" s="5">
        <f t="shared" si="15"/>
        <v>2025</v>
      </c>
      <c r="T152" s="5">
        <f t="shared" si="16"/>
        <v>42</v>
      </c>
      <c r="U152" s="5" t="str">
        <f t="shared" si="17"/>
        <v>2025-26</v>
      </c>
    </row>
    <row r="153" spans="1:21" x14ac:dyDescent="0.2">
      <c r="A153" s="8">
        <v>45950</v>
      </c>
      <c r="B153" s="6">
        <v>0</v>
      </c>
      <c r="C153" s="6">
        <v>0</v>
      </c>
      <c r="D153" s="6">
        <v>0</v>
      </c>
      <c r="E153" s="6">
        <v>0</v>
      </c>
      <c r="F153" s="6">
        <v>0</v>
      </c>
      <c r="G153" s="6">
        <v>0</v>
      </c>
      <c r="H153" s="6">
        <v>0</v>
      </c>
      <c r="I153" s="6">
        <v>0</v>
      </c>
      <c r="J153" s="6">
        <v>0</v>
      </c>
      <c r="K153" s="6">
        <v>0</v>
      </c>
      <c r="L153" s="6">
        <v>0</v>
      </c>
      <c r="M153" s="5">
        <f t="shared" si="12"/>
        <v>0</v>
      </c>
      <c r="N153" s="6">
        <v>0</v>
      </c>
      <c r="O153" s="6">
        <v>0</v>
      </c>
      <c r="P153" s="10" t="str">
        <f t="shared" si="13"/>
        <v/>
      </c>
      <c r="Q153" s="7"/>
      <c r="R153" s="11">
        <f t="shared" si="14"/>
        <v>45955</v>
      </c>
      <c r="S153" s="5">
        <f t="shared" si="15"/>
        <v>2025</v>
      </c>
      <c r="T153" s="5">
        <f t="shared" si="16"/>
        <v>43</v>
      </c>
      <c r="U153" s="5" t="str">
        <f t="shared" si="17"/>
        <v>2025-26</v>
      </c>
    </row>
    <row r="154" spans="1:21" x14ac:dyDescent="0.2">
      <c r="A154" s="8">
        <v>45957</v>
      </c>
      <c r="B154" s="6">
        <v>0</v>
      </c>
      <c r="C154" s="6">
        <v>0</v>
      </c>
      <c r="D154" s="6">
        <v>0</v>
      </c>
      <c r="E154" s="6">
        <v>0</v>
      </c>
      <c r="F154" s="6">
        <v>0</v>
      </c>
      <c r="G154" s="6">
        <v>0</v>
      </c>
      <c r="H154" s="6">
        <v>0</v>
      </c>
      <c r="I154" s="6">
        <v>0</v>
      </c>
      <c r="J154" s="6">
        <v>0</v>
      </c>
      <c r="K154" s="6">
        <v>0</v>
      </c>
      <c r="L154" s="6">
        <v>0</v>
      </c>
      <c r="M154" s="5">
        <f t="shared" si="12"/>
        <v>0</v>
      </c>
      <c r="N154" s="6">
        <v>0</v>
      </c>
      <c r="O154" s="6">
        <v>0</v>
      </c>
      <c r="P154" s="10" t="str">
        <f t="shared" si="13"/>
        <v/>
      </c>
      <c r="Q154" s="7"/>
      <c r="R154" s="11">
        <f t="shared" si="14"/>
        <v>45962</v>
      </c>
      <c r="S154" s="5">
        <f t="shared" si="15"/>
        <v>2025</v>
      </c>
      <c r="T154" s="5">
        <f t="shared" si="16"/>
        <v>44</v>
      </c>
      <c r="U154" s="5" t="str">
        <f t="shared" si="17"/>
        <v>2025-26</v>
      </c>
    </row>
    <row r="155" spans="1:21" x14ac:dyDescent="0.2">
      <c r="A155" s="8">
        <v>45964</v>
      </c>
      <c r="B155" s="6">
        <v>2</v>
      </c>
      <c r="C155" s="6">
        <v>0</v>
      </c>
      <c r="D155" s="6">
        <v>0</v>
      </c>
      <c r="E155" s="6">
        <v>0</v>
      </c>
      <c r="F155" s="6">
        <v>0</v>
      </c>
      <c r="G155" s="6">
        <v>0</v>
      </c>
      <c r="H155" s="6">
        <v>0</v>
      </c>
      <c r="I155" s="6">
        <v>0</v>
      </c>
      <c r="J155" s="6">
        <v>0</v>
      </c>
      <c r="K155" s="6">
        <v>0</v>
      </c>
      <c r="L155" s="6">
        <v>0</v>
      </c>
      <c r="M155" s="5">
        <f t="shared" si="12"/>
        <v>0</v>
      </c>
      <c r="N155" s="6">
        <v>0</v>
      </c>
      <c r="O155" s="6">
        <v>0</v>
      </c>
      <c r="P155" s="10" t="str">
        <f t="shared" si="13"/>
        <v/>
      </c>
      <c r="Q155" s="7"/>
      <c r="R155" s="11">
        <f t="shared" si="14"/>
        <v>45969</v>
      </c>
      <c r="S155" s="5">
        <f t="shared" si="15"/>
        <v>2025</v>
      </c>
      <c r="T155" s="5">
        <f t="shared" si="16"/>
        <v>45</v>
      </c>
      <c r="U155" s="5" t="str">
        <f t="shared" si="17"/>
        <v>2025-26</v>
      </c>
    </row>
    <row r="156" spans="1:21" x14ac:dyDescent="0.2">
      <c r="A156" s="8">
        <v>45971</v>
      </c>
      <c r="B156" s="6">
        <v>2</v>
      </c>
      <c r="C156" s="6">
        <v>0</v>
      </c>
      <c r="D156" s="6">
        <v>0</v>
      </c>
      <c r="E156" s="6">
        <v>0</v>
      </c>
      <c r="F156" s="6">
        <v>0</v>
      </c>
      <c r="G156" s="6">
        <v>0</v>
      </c>
      <c r="H156" s="6">
        <v>0</v>
      </c>
      <c r="I156" s="6">
        <v>0</v>
      </c>
      <c r="J156" s="6">
        <v>0</v>
      </c>
      <c r="K156" s="6">
        <v>0</v>
      </c>
      <c r="L156" s="6">
        <v>0</v>
      </c>
      <c r="M156" s="5">
        <f t="shared" si="12"/>
        <v>0</v>
      </c>
      <c r="N156" s="6">
        <v>0</v>
      </c>
      <c r="O156" s="6">
        <v>0</v>
      </c>
      <c r="P156" s="10" t="str">
        <f t="shared" si="13"/>
        <v/>
      </c>
      <c r="Q156" s="7"/>
      <c r="R156" s="11">
        <f t="shared" si="14"/>
        <v>45976</v>
      </c>
      <c r="S156" s="5">
        <f t="shared" si="15"/>
        <v>2025</v>
      </c>
      <c r="T156" s="5">
        <f t="shared" si="16"/>
        <v>46</v>
      </c>
      <c r="U156" s="5" t="str">
        <f t="shared" si="17"/>
        <v>2025-26</v>
      </c>
    </row>
    <row r="157" spans="1:21" x14ac:dyDescent="0.2">
      <c r="A157" s="8">
        <v>45978</v>
      </c>
      <c r="B157" s="6">
        <v>0</v>
      </c>
      <c r="C157" s="6">
        <v>1</v>
      </c>
      <c r="D157" s="6">
        <v>0</v>
      </c>
      <c r="E157" s="6">
        <v>0</v>
      </c>
      <c r="F157" s="6">
        <v>0</v>
      </c>
      <c r="G157" s="6">
        <v>1</v>
      </c>
      <c r="H157" s="6">
        <v>1</v>
      </c>
      <c r="I157" s="6">
        <v>0</v>
      </c>
      <c r="J157" s="6">
        <v>0</v>
      </c>
      <c r="K157" s="6">
        <v>1</v>
      </c>
      <c r="L157" s="6">
        <v>0</v>
      </c>
      <c r="M157" s="5">
        <f t="shared" si="12"/>
        <v>1</v>
      </c>
      <c r="N157" s="6">
        <v>0</v>
      </c>
      <c r="O157" s="6">
        <v>1</v>
      </c>
      <c r="P157" s="10">
        <f t="shared" si="13"/>
        <v>0</v>
      </c>
      <c r="Q157" s="7"/>
      <c r="R157" s="11">
        <f t="shared" si="14"/>
        <v>45983</v>
      </c>
      <c r="S157" s="5">
        <f t="shared" si="15"/>
        <v>2025</v>
      </c>
      <c r="T157" s="5">
        <f t="shared" si="16"/>
        <v>47</v>
      </c>
      <c r="U157" s="5" t="str">
        <f t="shared" si="17"/>
        <v>2025-26</v>
      </c>
    </row>
    <row r="158" spans="1:21" x14ac:dyDescent="0.2">
      <c r="A158" s="8">
        <v>45985</v>
      </c>
      <c r="B158" s="6">
        <v>3</v>
      </c>
      <c r="C158" s="6">
        <v>0</v>
      </c>
      <c r="D158" s="6">
        <v>0</v>
      </c>
      <c r="E158" s="6">
        <v>0</v>
      </c>
      <c r="F158" s="6">
        <v>0</v>
      </c>
      <c r="G158" s="6">
        <v>0</v>
      </c>
      <c r="H158" s="6">
        <v>0</v>
      </c>
      <c r="I158" s="6">
        <v>0</v>
      </c>
      <c r="J158" s="6">
        <v>0</v>
      </c>
      <c r="K158" s="6">
        <v>0</v>
      </c>
      <c r="L158" s="6">
        <v>0</v>
      </c>
      <c r="M158" s="5">
        <f t="shared" si="12"/>
        <v>0</v>
      </c>
      <c r="N158" s="6">
        <v>0</v>
      </c>
      <c r="O158" s="6">
        <v>0</v>
      </c>
      <c r="P158" s="10" t="str">
        <f t="shared" si="13"/>
        <v/>
      </c>
      <c r="Q158" s="7"/>
      <c r="R158" s="11">
        <f t="shared" si="14"/>
        <v>45990</v>
      </c>
      <c r="S158" s="5">
        <f t="shared" si="15"/>
        <v>2025</v>
      </c>
      <c r="T158" s="5">
        <f t="shared" si="16"/>
        <v>48</v>
      </c>
      <c r="U158" s="5" t="str">
        <f t="shared" si="17"/>
        <v>2025-26</v>
      </c>
    </row>
    <row r="159" spans="1:21" x14ac:dyDescent="0.2">
      <c r="A159" s="8">
        <v>45992</v>
      </c>
      <c r="B159" s="6">
        <v>5</v>
      </c>
      <c r="C159" s="6">
        <v>1</v>
      </c>
      <c r="D159" s="6">
        <v>0</v>
      </c>
      <c r="E159" s="6">
        <v>0</v>
      </c>
      <c r="F159" s="6">
        <v>0</v>
      </c>
      <c r="G159" s="6">
        <v>2</v>
      </c>
      <c r="H159" s="6">
        <v>2</v>
      </c>
      <c r="I159" s="6">
        <v>0</v>
      </c>
      <c r="J159" s="6">
        <v>0</v>
      </c>
      <c r="K159" s="6">
        <v>2</v>
      </c>
      <c r="L159" s="6">
        <v>0</v>
      </c>
      <c r="M159" s="5">
        <f t="shared" si="12"/>
        <v>2</v>
      </c>
      <c r="N159" s="6">
        <v>0</v>
      </c>
      <c r="O159" s="6">
        <v>2</v>
      </c>
      <c r="P159" s="10">
        <f t="shared" si="13"/>
        <v>0</v>
      </c>
      <c r="Q159" s="7"/>
      <c r="R159" s="11">
        <f t="shared" si="14"/>
        <v>45997</v>
      </c>
      <c r="S159" s="5">
        <f t="shared" si="15"/>
        <v>2025</v>
      </c>
      <c r="T159" s="5">
        <f t="shared" si="16"/>
        <v>49</v>
      </c>
      <c r="U159" s="5" t="str">
        <f t="shared" si="17"/>
        <v>2025-26</v>
      </c>
    </row>
    <row r="160" spans="1:21" x14ac:dyDescent="0.2">
      <c r="A160" s="8">
        <v>45999</v>
      </c>
      <c r="B160" s="6">
        <v>0</v>
      </c>
      <c r="C160" s="6">
        <v>3</v>
      </c>
      <c r="D160" s="6">
        <v>1</v>
      </c>
      <c r="E160" s="6">
        <v>0</v>
      </c>
      <c r="F160" s="6">
        <v>0</v>
      </c>
      <c r="G160" s="6">
        <v>4</v>
      </c>
      <c r="H160" s="6">
        <v>3</v>
      </c>
      <c r="I160" s="6">
        <v>0</v>
      </c>
      <c r="J160" s="6">
        <v>0</v>
      </c>
      <c r="K160" s="6">
        <v>4</v>
      </c>
      <c r="L160" s="6">
        <v>0</v>
      </c>
      <c r="M160" s="5">
        <f t="shared" si="12"/>
        <v>4</v>
      </c>
      <c r="N160" s="6">
        <v>0</v>
      </c>
      <c r="O160" s="6">
        <v>4</v>
      </c>
      <c r="P160" s="10">
        <f t="shared" si="13"/>
        <v>0</v>
      </c>
      <c r="Q160" s="7"/>
      <c r="R160" s="11">
        <f t="shared" si="14"/>
        <v>46004</v>
      </c>
      <c r="S160" s="5">
        <f t="shared" si="15"/>
        <v>2025</v>
      </c>
      <c r="T160" s="5">
        <f t="shared" si="16"/>
        <v>50</v>
      </c>
      <c r="U160" s="5" t="str">
        <f t="shared" si="17"/>
        <v>2025-26</v>
      </c>
    </row>
    <row r="161" spans="1:21" x14ac:dyDescent="0.2">
      <c r="A161" s="8">
        <v>46006</v>
      </c>
      <c r="B161" s="6">
        <v>0</v>
      </c>
      <c r="C161" s="6">
        <v>4</v>
      </c>
      <c r="D161" s="6">
        <v>2</v>
      </c>
      <c r="E161" s="6">
        <v>0</v>
      </c>
      <c r="F161" s="6">
        <v>0</v>
      </c>
      <c r="G161" s="6">
        <v>7</v>
      </c>
      <c r="H161" s="6">
        <v>3</v>
      </c>
      <c r="I161" s="6">
        <v>1</v>
      </c>
      <c r="J161" s="6">
        <v>1</v>
      </c>
      <c r="K161" s="6">
        <v>7</v>
      </c>
      <c r="L161" s="6">
        <v>0</v>
      </c>
      <c r="M161" s="5">
        <f t="shared" si="12"/>
        <v>7</v>
      </c>
      <c r="N161" s="6">
        <v>3</v>
      </c>
      <c r="O161" s="6">
        <v>4</v>
      </c>
      <c r="P161" s="10">
        <f t="shared" si="13"/>
        <v>0.42857142857142855</v>
      </c>
      <c r="Q161" s="7"/>
      <c r="R161" s="11">
        <f t="shared" si="14"/>
        <v>46011</v>
      </c>
      <c r="S161" s="5">
        <f t="shared" si="15"/>
        <v>2025</v>
      </c>
      <c r="T161" s="5">
        <f t="shared" si="16"/>
        <v>51</v>
      </c>
      <c r="U161" s="5" t="str">
        <f t="shared" si="17"/>
        <v>2025-26</v>
      </c>
    </row>
    <row r="162" spans="1:21" x14ac:dyDescent="0.2">
      <c r="A162" s="8">
        <v>46013</v>
      </c>
      <c r="B162" s="6">
        <v>0</v>
      </c>
      <c r="C162" s="6">
        <v>13</v>
      </c>
      <c r="D162" s="6">
        <v>1</v>
      </c>
      <c r="E162" s="6">
        <v>0</v>
      </c>
      <c r="F162" s="6">
        <v>0</v>
      </c>
      <c r="G162" s="6">
        <v>21</v>
      </c>
      <c r="H162" s="6">
        <v>3</v>
      </c>
      <c r="I162" s="6">
        <v>2</v>
      </c>
      <c r="J162" s="6">
        <v>0</v>
      </c>
      <c r="K162" s="6">
        <v>21</v>
      </c>
      <c r="L162" s="6">
        <v>0</v>
      </c>
      <c r="M162" s="5">
        <f t="shared" si="12"/>
        <v>21</v>
      </c>
      <c r="N162" s="6">
        <v>2</v>
      </c>
      <c r="O162" s="6">
        <v>19</v>
      </c>
      <c r="P162" s="10">
        <f t="shared" si="13"/>
        <v>9.5238095238095233E-2</v>
      </c>
      <c r="Q162" s="7"/>
      <c r="R162" s="11">
        <f t="shared" si="14"/>
        <v>46018</v>
      </c>
      <c r="S162" s="5">
        <f t="shared" si="15"/>
        <v>2025</v>
      </c>
      <c r="T162" s="5">
        <f t="shared" si="16"/>
        <v>52</v>
      </c>
      <c r="U162" s="5" t="str">
        <f t="shared" si="17"/>
        <v>2025-26</v>
      </c>
    </row>
    <row r="163" spans="1:21" x14ac:dyDescent="0.2">
      <c r="A163" s="8">
        <v>46020</v>
      </c>
      <c r="B163" s="6">
        <v>1</v>
      </c>
      <c r="C163" s="6">
        <v>10</v>
      </c>
      <c r="D163" s="6">
        <v>1</v>
      </c>
      <c r="E163" s="6">
        <v>0</v>
      </c>
      <c r="F163" s="6">
        <v>0</v>
      </c>
      <c r="G163" s="6">
        <v>19</v>
      </c>
      <c r="H163" s="6">
        <v>3</v>
      </c>
      <c r="I163" s="6">
        <v>2</v>
      </c>
      <c r="J163" s="6">
        <v>1</v>
      </c>
      <c r="K163" s="6">
        <v>15</v>
      </c>
      <c r="L163" s="6">
        <v>4</v>
      </c>
      <c r="M163" s="5">
        <f t="shared" si="12"/>
        <v>19</v>
      </c>
      <c r="N163" s="6">
        <v>3</v>
      </c>
      <c r="O163" s="6">
        <v>16</v>
      </c>
      <c r="P163" s="10">
        <f t="shared" si="13"/>
        <v>0.15789473684210525</v>
      </c>
      <c r="Q163" s="7"/>
      <c r="R163" s="11">
        <f t="shared" si="14"/>
        <v>46025</v>
      </c>
      <c r="S163" s="5">
        <f t="shared" si="15"/>
        <v>2025</v>
      </c>
      <c r="T163" s="5">
        <f t="shared" si="16"/>
        <v>53</v>
      </c>
      <c r="U163" s="5" t="str">
        <f t="shared" si="17"/>
        <v>2025-26</v>
      </c>
    </row>
    <row r="164" spans="1:21" x14ac:dyDescent="0.2">
      <c r="A164" s="8">
        <v>46027</v>
      </c>
      <c r="B164" s="6">
        <v>1</v>
      </c>
      <c r="C164" s="6">
        <v>14</v>
      </c>
      <c r="D164" s="6">
        <v>2</v>
      </c>
      <c r="E164" s="6">
        <v>0</v>
      </c>
      <c r="F164" s="6">
        <v>0</v>
      </c>
      <c r="G164" s="6">
        <v>20</v>
      </c>
      <c r="H164" s="6">
        <v>13</v>
      </c>
      <c r="I164" s="6">
        <v>2</v>
      </c>
      <c r="J164" s="6">
        <v>2</v>
      </c>
      <c r="K164" s="6">
        <v>19</v>
      </c>
      <c r="L164" s="6">
        <v>1</v>
      </c>
      <c r="M164" s="5">
        <f t="shared" si="12"/>
        <v>20</v>
      </c>
      <c r="N164" s="6">
        <v>3</v>
      </c>
      <c r="O164" s="6">
        <v>17</v>
      </c>
      <c r="P164" s="10">
        <f t="shared" si="13"/>
        <v>0.15</v>
      </c>
      <c r="Q164" s="7"/>
      <c r="R164" s="11">
        <f t="shared" si="14"/>
        <v>46032</v>
      </c>
      <c r="S164" s="5">
        <f t="shared" si="15"/>
        <v>2026</v>
      </c>
      <c r="T164" s="5">
        <f t="shared" si="16"/>
        <v>1</v>
      </c>
      <c r="U164" s="5" t="str">
        <f t="shared" si="17"/>
        <v>2025-26</v>
      </c>
    </row>
    <row r="165" spans="1:21" x14ac:dyDescent="0.2">
      <c r="A165" s="8">
        <v>46034</v>
      </c>
      <c r="B165" s="6">
        <v>0</v>
      </c>
      <c r="C165" s="6">
        <v>16</v>
      </c>
      <c r="D165" s="6">
        <v>0</v>
      </c>
      <c r="E165" s="6">
        <v>0</v>
      </c>
      <c r="F165" s="6">
        <v>0</v>
      </c>
      <c r="G165" s="6">
        <v>20</v>
      </c>
      <c r="H165" s="6">
        <v>15</v>
      </c>
      <c r="I165" s="6">
        <v>0</v>
      </c>
      <c r="J165" s="6">
        <v>0</v>
      </c>
      <c r="K165" s="6">
        <v>16</v>
      </c>
      <c r="L165" s="6">
        <v>4</v>
      </c>
      <c r="M165" s="5">
        <f t="shared" si="12"/>
        <v>20</v>
      </c>
      <c r="N165" s="6">
        <v>5</v>
      </c>
      <c r="O165" s="6">
        <v>15</v>
      </c>
      <c r="P165" s="10">
        <f t="shared" si="13"/>
        <v>0.25</v>
      </c>
      <c r="Q165" s="7"/>
      <c r="R165" s="11">
        <f t="shared" si="14"/>
        <v>46039</v>
      </c>
      <c r="S165" s="5">
        <f t="shared" si="15"/>
        <v>2026</v>
      </c>
      <c r="T165" s="5">
        <f t="shared" si="16"/>
        <v>2</v>
      </c>
      <c r="U165" s="5" t="str">
        <f t="shared" si="17"/>
        <v>2025-26</v>
      </c>
    </row>
    <row r="166" spans="1:21" x14ac:dyDescent="0.2">
      <c r="A166" s="8">
        <v>46041</v>
      </c>
      <c r="B166" s="6">
        <v>0</v>
      </c>
      <c r="C166" s="6">
        <v>30</v>
      </c>
      <c r="D166" s="6">
        <v>4</v>
      </c>
      <c r="E166" s="6">
        <v>0</v>
      </c>
      <c r="F166" s="6">
        <v>0</v>
      </c>
      <c r="G166" s="6">
        <v>33</v>
      </c>
      <c r="H166" s="6">
        <v>27</v>
      </c>
      <c r="I166" s="6">
        <v>5</v>
      </c>
      <c r="J166" s="6">
        <v>3</v>
      </c>
      <c r="K166" s="6">
        <v>28</v>
      </c>
      <c r="L166" s="6">
        <v>5</v>
      </c>
      <c r="M166" s="5">
        <f t="shared" si="12"/>
        <v>33</v>
      </c>
      <c r="N166" s="6">
        <v>11</v>
      </c>
      <c r="O166" s="6">
        <v>22</v>
      </c>
      <c r="P166" s="10">
        <f t="shared" si="13"/>
        <v>0.33333333333333331</v>
      </c>
      <c r="Q166" s="7"/>
      <c r="R166" s="11">
        <f t="shared" si="14"/>
        <v>46046</v>
      </c>
      <c r="S166" s="5">
        <f t="shared" si="15"/>
        <v>2026</v>
      </c>
      <c r="T166" s="5">
        <f t="shared" si="16"/>
        <v>3</v>
      </c>
      <c r="U166" s="5" t="str">
        <f t="shared" si="17"/>
        <v>2025-26</v>
      </c>
    </row>
    <row r="167" spans="1:21" x14ac:dyDescent="0.2">
      <c r="A167" s="8">
        <v>46048</v>
      </c>
      <c r="B167" s="6">
        <v>4</v>
      </c>
      <c r="C167" s="6">
        <v>63</v>
      </c>
      <c r="D167" s="6">
        <v>1</v>
      </c>
      <c r="E167" s="6">
        <v>0</v>
      </c>
      <c r="F167" s="6">
        <v>0</v>
      </c>
      <c r="G167" s="6">
        <v>67</v>
      </c>
      <c r="H167" s="6">
        <v>62</v>
      </c>
      <c r="I167" s="6">
        <v>2</v>
      </c>
      <c r="J167" s="6">
        <v>1</v>
      </c>
      <c r="K167" s="6">
        <v>66</v>
      </c>
      <c r="L167" s="6">
        <v>1</v>
      </c>
      <c r="M167" s="5">
        <f t="shared" si="12"/>
        <v>67</v>
      </c>
      <c r="N167" s="6">
        <v>26</v>
      </c>
      <c r="O167" s="6">
        <v>41</v>
      </c>
      <c r="P167" s="10">
        <f t="shared" si="13"/>
        <v>0.38805970149253732</v>
      </c>
      <c r="Q167" s="7"/>
      <c r="R167" s="11">
        <f t="shared" si="14"/>
        <v>46053</v>
      </c>
      <c r="S167" s="5">
        <f t="shared" si="15"/>
        <v>2026</v>
      </c>
      <c r="T167" s="5">
        <f t="shared" si="16"/>
        <v>4</v>
      </c>
      <c r="U167" s="5" t="str">
        <f t="shared" si="17"/>
        <v>2025-26</v>
      </c>
    </row>
    <row r="168" spans="1:21" x14ac:dyDescent="0.2">
      <c r="A168" s="8">
        <v>46055</v>
      </c>
      <c r="B168" s="6">
        <v>2</v>
      </c>
      <c r="C168" s="6">
        <v>47</v>
      </c>
      <c r="D168" s="6">
        <v>6</v>
      </c>
      <c r="E168" s="6">
        <v>0</v>
      </c>
      <c r="F168" s="6">
        <v>0</v>
      </c>
      <c r="G168" s="6">
        <v>49</v>
      </c>
      <c r="H168" s="6">
        <v>44</v>
      </c>
      <c r="I168" s="6">
        <v>6</v>
      </c>
      <c r="J168" s="6">
        <v>6</v>
      </c>
      <c r="K168" s="6">
        <v>45</v>
      </c>
      <c r="L168" s="6">
        <v>4</v>
      </c>
      <c r="M168" s="5">
        <f t="shared" si="12"/>
        <v>49</v>
      </c>
      <c r="N168" s="6">
        <v>17</v>
      </c>
      <c r="O168" s="6">
        <v>32</v>
      </c>
      <c r="P168" s="10">
        <f t="shared" si="13"/>
        <v>0.34693877551020408</v>
      </c>
      <c r="Q168" s="7"/>
      <c r="R168" s="11">
        <f t="shared" si="14"/>
        <v>46060</v>
      </c>
      <c r="S168" s="5">
        <f t="shared" si="15"/>
        <v>2026</v>
      </c>
      <c r="T168" s="5">
        <f t="shared" si="16"/>
        <v>5</v>
      </c>
      <c r="U168" s="5" t="str">
        <f t="shared" si="17"/>
        <v>2025-26</v>
      </c>
    </row>
    <row r="169" spans="1:21" x14ac:dyDescent="0.2">
      <c r="A169" s="8">
        <v>46062</v>
      </c>
      <c r="B169" s="6">
        <v>1</v>
      </c>
      <c r="C169" s="6">
        <v>15</v>
      </c>
      <c r="D169" s="6">
        <v>10</v>
      </c>
      <c r="E169" s="6">
        <v>0</v>
      </c>
      <c r="F169" s="6">
        <v>0</v>
      </c>
      <c r="G169" s="6">
        <v>21</v>
      </c>
      <c r="H169" s="6">
        <v>13</v>
      </c>
      <c r="I169" s="6">
        <v>12</v>
      </c>
      <c r="J169" s="6">
        <v>11</v>
      </c>
      <c r="K169" s="6">
        <v>15</v>
      </c>
      <c r="L169" s="6">
        <v>6</v>
      </c>
      <c r="M169" s="5">
        <f t="shared" si="12"/>
        <v>21</v>
      </c>
      <c r="N169" s="6">
        <v>2</v>
      </c>
      <c r="O169" s="6">
        <v>19</v>
      </c>
      <c r="P169" s="10">
        <f t="shared" si="13"/>
        <v>9.5238095238095233E-2</v>
      </c>
      <c r="Q169" s="7"/>
      <c r="R169" s="11">
        <f t="shared" si="14"/>
        <v>46067</v>
      </c>
      <c r="S169" s="5">
        <f t="shared" si="15"/>
        <v>2026</v>
      </c>
      <c r="T169" s="5">
        <f t="shared" si="16"/>
        <v>6</v>
      </c>
      <c r="U169" s="5" t="str">
        <f t="shared" si="17"/>
        <v>2025-26</v>
      </c>
    </row>
    <row r="170" spans="1:21" x14ac:dyDescent="0.2">
      <c r="A170" s="8">
        <v>46069</v>
      </c>
      <c r="B170" s="6">
        <v>2</v>
      </c>
      <c r="C170" s="6">
        <v>7</v>
      </c>
      <c r="D170" s="6">
        <v>5</v>
      </c>
      <c r="E170" s="6">
        <v>0</v>
      </c>
      <c r="F170" s="6">
        <v>0</v>
      </c>
      <c r="G170" s="6">
        <v>13</v>
      </c>
      <c r="H170" s="6">
        <v>2</v>
      </c>
      <c r="I170" s="6">
        <v>6</v>
      </c>
      <c r="J170" s="6">
        <v>4</v>
      </c>
      <c r="K170" s="6">
        <v>4</v>
      </c>
      <c r="L170" s="6">
        <v>9</v>
      </c>
      <c r="M170" s="5">
        <f t="shared" si="12"/>
        <v>13</v>
      </c>
      <c r="N170" s="6">
        <v>2</v>
      </c>
      <c r="O170" s="6">
        <v>11</v>
      </c>
      <c r="P170" s="10">
        <f t="shared" si="13"/>
        <v>0.15384615384615385</v>
      </c>
      <c r="Q170" s="7"/>
      <c r="R170" s="11">
        <f t="shared" si="14"/>
        <v>46074</v>
      </c>
      <c r="S170" s="5">
        <f t="shared" si="15"/>
        <v>2026</v>
      </c>
      <c r="T170" s="5">
        <f t="shared" si="16"/>
        <v>7</v>
      </c>
      <c r="U170" s="5" t="str">
        <f t="shared" si="17"/>
        <v>2025-26</v>
      </c>
    </row>
    <row r="171" spans="1:21" x14ac:dyDescent="0.2">
      <c r="A171" s="8">
        <v>46076</v>
      </c>
      <c r="B171" s="6">
        <v>2</v>
      </c>
      <c r="C171" s="6">
        <v>7</v>
      </c>
      <c r="D171" s="6">
        <v>4</v>
      </c>
      <c r="E171" s="6">
        <v>0</v>
      </c>
      <c r="F171" s="6">
        <v>0</v>
      </c>
      <c r="G171" s="6">
        <v>2</v>
      </c>
      <c r="H171" s="6">
        <v>2</v>
      </c>
      <c r="I171" s="6">
        <v>3</v>
      </c>
      <c r="J171" s="6">
        <v>2</v>
      </c>
      <c r="K171" s="6">
        <v>2</v>
      </c>
      <c r="L171" s="6">
        <v>0</v>
      </c>
      <c r="M171" s="5">
        <f t="shared" si="12"/>
        <v>2</v>
      </c>
      <c r="N171" s="6">
        <v>0</v>
      </c>
      <c r="O171" s="6">
        <v>2</v>
      </c>
      <c r="P171" s="10">
        <f t="shared" si="13"/>
        <v>0</v>
      </c>
      <c r="Q171" s="7"/>
      <c r="R171" s="11">
        <f t="shared" si="14"/>
        <v>46081</v>
      </c>
      <c r="S171" s="5">
        <f t="shared" si="15"/>
        <v>2026</v>
      </c>
      <c r="T171" s="5">
        <f t="shared" si="16"/>
        <v>8</v>
      </c>
      <c r="U171" s="5" t="str">
        <f t="shared" si="17"/>
        <v>2025-26</v>
      </c>
    </row>
    <row r="172" spans="1:21" x14ac:dyDescent="0.2">
      <c r="A172" s="8">
        <v>46083</v>
      </c>
      <c r="B172" s="6">
        <v>0</v>
      </c>
      <c r="C172" s="6">
        <v>5</v>
      </c>
      <c r="D172" s="6">
        <v>6</v>
      </c>
      <c r="E172" s="6">
        <v>0</v>
      </c>
      <c r="F172" s="6">
        <v>0</v>
      </c>
      <c r="G172" s="6">
        <v>5</v>
      </c>
      <c r="H172" s="6">
        <v>3</v>
      </c>
      <c r="I172" s="6">
        <v>6</v>
      </c>
      <c r="J172" s="6">
        <v>6</v>
      </c>
      <c r="K172" s="6">
        <v>1</v>
      </c>
      <c r="L172" s="6">
        <v>4</v>
      </c>
      <c r="M172" s="5">
        <f t="shared" si="12"/>
        <v>5</v>
      </c>
      <c r="N172" s="6">
        <v>1</v>
      </c>
      <c r="O172" s="6">
        <v>4</v>
      </c>
      <c r="P172" s="10">
        <f t="shared" si="13"/>
        <v>0.2</v>
      </c>
      <c r="Q172" s="7"/>
      <c r="R172" s="11">
        <f t="shared" si="14"/>
        <v>46088</v>
      </c>
      <c r="S172" s="5">
        <f t="shared" si="15"/>
        <v>2026</v>
      </c>
      <c r="T172" s="5">
        <f t="shared" si="16"/>
        <v>9</v>
      </c>
      <c r="U172" s="5" t="str">
        <f t="shared" si="17"/>
        <v>2025-26</v>
      </c>
    </row>
    <row r="173" spans="1:21" x14ac:dyDescent="0.2">
      <c r="A173" s="8">
        <v>46090</v>
      </c>
      <c r="B173" s="6">
        <v>0</v>
      </c>
      <c r="C173" s="6">
        <v>5</v>
      </c>
      <c r="D173" s="6">
        <v>0</v>
      </c>
      <c r="E173" s="6">
        <v>0</v>
      </c>
      <c r="F173" s="6">
        <v>0</v>
      </c>
      <c r="G173" s="6">
        <v>4</v>
      </c>
      <c r="H173" s="6">
        <v>2</v>
      </c>
      <c r="I173" s="6">
        <v>0</v>
      </c>
      <c r="J173" s="6">
        <v>0</v>
      </c>
      <c r="K173" s="6">
        <v>0</v>
      </c>
      <c r="L173" s="6">
        <v>4</v>
      </c>
      <c r="M173" s="5">
        <f t="shared" si="12"/>
        <v>4</v>
      </c>
      <c r="N173" s="6">
        <v>0</v>
      </c>
      <c r="O173" s="6">
        <v>4</v>
      </c>
      <c r="P173" s="10">
        <f t="shared" si="13"/>
        <v>0</v>
      </c>
      <c r="Q173" s="7"/>
      <c r="R173" s="11">
        <f t="shared" si="14"/>
        <v>46095</v>
      </c>
      <c r="S173" s="5">
        <f t="shared" si="15"/>
        <v>2026</v>
      </c>
      <c r="T173" s="5">
        <f t="shared" si="16"/>
        <v>10</v>
      </c>
      <c r="U173" s="5" t="str">
        <f t="shared" si="17"/>
        <v>2025-26</v>
      </c>
    </row>
    <row r="174" spans="1:21" x14ac:dyDescent="0.2">
      <c r="A174" s="8">
        <v>46097</v>
      </c>
      <c r="B174" s="6">
        <v>4</v>
      </c>
      <c r="C174" s="6">
        <v>6</v>
      </c>
      <c r="D174" s="6">
        <v>2</v>
      </c>
      <c r="E174" s="6">
        <v>0</v>
      </c>
      <c r="F174" s="6">
        <v>0</v>
      </c>
      <c r="G174" s="6">
        <v>5</v>
      </c>
      <c r="H174" s="6">
        <v>3</v>
      </c>
      <c r="I174" s="6">
        <v>2</v>
      </c>
      <c r="J174" s="6">
        <v>2</v>
      </c>
      <c r="K174" s="6">
        <v>0</v>
      </c>
      <c r="L174" s="6">
        <v>5</v>
      </c>
      <c r="M174" s="5">
        <f t="shared" si="12"/>
        <v>5</v>
      </c>
      <c r="N174" s="6">
        <v>3</v>
      </c>
      <c r="O174" s="6">
        <v>2</v>
      </c>
      <c r="P174" s="10">
        <f t="shared" si="13"/>
        <v>0.6</v>
      </c>
      <c r="Q174" s="7"/>
      <c r="R174" s="11">
        <f t="shared" si="14"/>
        <v>46102</v>
      </c>
      <c r="S174" s="5">
        <f t="shared" si="15"/>
        <v>2026</v>
      </c>
      <c r="T174" s="5">
        <f t="shared" si="16"/>
        <v>11</v>
      </c>
      <c r="U174" s="5" t="str">
        <f t="shared" si="17"/>
        <v>2025-26</v>
      </c>
    </row>
    <row r="175" spans="1:21" x14ac:dyDescent="0.2">
      <c r="A175" s="8">
        <v>46104</v>
      </c>
      <c r="B175" s="6">
        <v>1</v>
      </c>
      <c r="C175" s="6">
        <v>7</v>
      </c>
      <c r="D175" s="6">
        <v>1</v>
      </c>
      <c r="E175" s="6">
        <v>0</v>
      </c>
      <c r="F175" s="6">
        <v>0</v>
      </c>
      <c r="G175" s="6">
        <v>6</v>
      </c>
      <c r="H175" s="6">
        <v>5</v>
      </c>
      <c r="I175" s="6">
        <v>1</v>
      </c>
      <c r="J175" s="6">
        <v>1</v>
      </c>
      <c r="K175" s="6">
        <v>1</v>
      </c>
      <c r="L175" s="6">
        <v>5</v>
      </c>
      <c r="M175" s="5">
        <f t="shared" si="12"/>
        <v>6</v>
      </c>
      <c r="N175" s="6">
        <v>3</v>
      </c>
      <c r="O175" s="6">
        <v>3</v>
      </c>
      <c r="P175" s="10">
        <f t="shared" si="13"/>
        <v>0.5</v>
      </c>
      <c r="Q175" s="7"/>
      <c r="R175" s="11">
        <f t="shared" si="14"/>
        <v>46109</v>
      </c>
      <c r="S175" s="5">
        <f t="shared" si="15"/>
        <v>2026</v>
      </c>
      <c r="T175" s="5">
        <f t="shared" si="16"/>
        <v>12</v>
      </c>
      <c r="U175" s="5" t="str">
        <f t="shared" si="17"/>
        <v>2025-26</v>
      </c>
    </row>
    <row r="176" spans="1:21" x14ac:dyDescent="0.2">
      <c r="A176" s="8">
        <v>46111</v>
      </c>
      <c r="B176" s="6">
        <v>1</v>
      </c>
      <c r="C176" s="6">
        <v>2</v>
      </c>
      <c r="D176" s="6">
        <v>0</v>
      </c>
      <c r="E176" s="6"/>
      <c r="F176" s="6"/>
      <c r="G176" s="6"/>
      <c r="H176" s="6"/>
      <c r="I176" s="6"/>
      <c r="J176" s="6"/>
      <c r="K176" s="6"/>
      <c r="L176" s="6"/>
      <c r="M176" s="5" t="str">
        <f t="shared" si="12"/>
        <v/>
      </c>
      <c r="N176" s="6"/>
      <c r="O176" s="6"/>
      <c r="P176" s="10" t="str">
        <f t="shared" si="13"/>
        <v/>
      </c>
      <c r="Q176" s="7"/>
      <c r="R176" s="11">
        <f t="shared" si="14"/>
        <v>46116</v>
      </c>
      <c r="S176" s="5">
        <f t="shared" si="15"/>
        <v>2026</v>
      </c>
      <c r="T176" s="5">
        <f t="shared" si="16"/>
        <v>13</v>
      </c>
      <c r="U176" s="5" t="str">
        <f t="shared" si="17"/>
        <v>2025-26</v>
      </c>
    </row>
    <row r="177" spans="1:21" x14ac:dyDescent="0.2">
      <c r="A177" s="8">
        <v>46118</v>
      </c>
      <c r="B177" s="6">
        <v>1</v>
      </c>
      <c r="C177" s="6">
        <v>1</v>
      </c>
      <c r="D177" s="6">
        <v>1</v>
      </c>
      <c r="E177" s="6"/>
      <c r="F177" s="6"/>
      <c r="G177" s="6"/>
      <c r="H177" s="6"/>
      <c r="I177" s="6"/>
      <c r="J177" s="6"/>
      <c r="K177" s="6"/>
      <c r="L177" s="6"/>
      <c r="M177" s="5" t="str">
        <f t="shared" si="12"/>
        <v/>
      </c>
      <c r="N177" s="6"/>
      <c r="O177" s="6"/>
      <c r="P177" s="10" t="str">
        <f t="shared" si="13"/>
        <v/>
      </c>
      <c r="Q177" s="7"/>
      <c r="R177" s="11">
        <f t="shared" si="14"/>
        <v>46123</v>
      </c>
      <c r="S177" s="5">
        <f t="shared" si="15"/>
        <v>2026</v>
      </c>
      <c r="T177" s="5">
        <f t="shared" si="16"/>
        <v>14</v>
      </c>
      <c r="U177" s="5" t="str">
        <f t="shared" si="17"/>
        <v>2025-26</v>
      </c>
    </row>
    <row r="178" spans="1:21" x14ac:dyDescent="0.2">
      <c r="A178" s="8">
        <v>46125</v>
      </c>
      <c r="B178" s="6">
        <v>5</v>
      </c>
      <c r="C178" s="6">
        <v>0</v>
      </c>
      <c r="D178" s="6">
        <v>0</v>
      </c>
      <c r="E178" s="6"/>
      <c r="F178" s="6"/>
      <c r="G178" s="6"/>
      <c r="H178" s="6"/>
      <c r="I178" s="6"/>
      <c r="J178" s="6"/>
      <c r="K178" s="6"/>
      <c r="L178" s="6"/>
      <c r="M178" s="5" t="str">
        <f t="shared" si="12"/>
        <v/>
      </c>
      <c r="N178" s="6"/>
      <c r="O178" s="6"/>
      <c r="P178" s="10" t="str">
        <f t="shared" si="13"/>
        <v/>
      </c>
      <c r="Q178" s="7"/>
      <c r="R178" s="11">
        <f t="shared" si="14"/>
        <v>46130</v>
      </c>
      <c r="S178" s="5">
        <f t="shared" si="15"/>
        <v>2026</v>
      </c>
      <c r="T178" s="5">
        <f t="shared" si="16"/>
        <v>15</v>
      </c>
      <c r="U178" s="5" t="str">
        <f t="shared" si="17"/>
        <v>2025-26</v>
      </c>
    </row>
    <row r="179" spans="1:21" x14ac:dyDescent="0.2">
      <c r="A179" s="8">
        <v>46132</v>
      </c>
      <c r="B179" s="6">
        <v>1</v>
      </c>
      <c r="C179" s="6">
        <v>1</v>
      </c>
      <c r="D179" s="6">
        <v>0</v>
      </c>
      <c r="E179" s="6"/>
      <c r="F179" s="6"/>
      <c r="G179" s="6"/>
      <c r="H179" s="6"/>
      <c r="I179" s="6"/>
      <c r="J179" s="6"/>
      <c r="K179" s="6"/>
      <c r="L179" s="6"/>
      <c r="M179" s="5" t="str">
        <f t="shared" si="12"/>
        <v/>
      </c>
      <c r="N179" s="6"/>
      <c r="O179" s="6"/>
      <c r="P179" s="10" t="str">
        <f t="shared" si="13"/>
        <v/>
      </c>
      <c r="Q179" s="7"/>
      <c r="R179" s="11">
        <f t="shared" si="14"/>
        <v>46137</v>
      </c>
      <c r="S179" s="5">
        <f t="shared" si="15"/>
        <v>2026</v>
      </c>
      <c r="T179" s="5">
        <f t="shared" si="16"/>
        <v>16</v>
      </c>
      <c r="U179" s="5" t="str">
        <f t="shared" si="17"/>
        <v>2025-26</v>
      </c>
    </row>
    <row r="180" spans="1:21" x14ac:dyDescent="0.2">
      <c r="A180" s="8">
        <v>46139</v>
      </c>
      <c r="B180" s="6">
        <v>0</v>
      </c>
      <c r="C180" s="6">
        <v>0</v>
      </c>
      <c r="D180" s="6">
        <v>0</v>
      </c>
      <c r="E180" s="6"/>
      <c r="F180" s="6"/>
      <c r="G180" s="6"/>
      <c r="H180" s="6"/>
      <c r="I180" s="6"/>
      <c r="J180" s="6"/>
      <c r="K180" s="6"/>
      <c r="L180" s="6"/>
      <c r="M180" s="5" t="str">
        <f t="shared" si="12"/>
        <v/>
      </c>
      <c r="N180" s="6"/>
      <c r="O180" s="6"/>
      <c r="P180" s="10" t="str">
        <f t="shared" si="13"/>
        <v/>
      </c>
      <c r="Q180" s="7"/>
      <c r="R180" s="11">
        <f t="shared" si="14"/>
        <v>46144</v>
      </c>
      <c r="S180" s="5">
        <f t="shared" si="15"/>
        <v>2026</v>
      </c>
      <c r="T180" s="5">
        <f t="shared" si="16"/>
        <v>17</v>
      </c>
      <c r="U180" s="5" t="str">
        <f t="shared" si="17"/>
        <v>2025-26</v>
      </c>
    </row>
    <row r="181" spans="1:21" x14ac:dyDescent="0.2">
      <c r="A181" s="8">
        <v>46146</v>
      </c>
      <c r="B181" s="6">
        <v>0</v>
      </c>
      <c r="C181" s="6">
        <v>0</v>
      </c>
      <c r="D181" s="6">
        <v>2</v>
      </c>
      <c r="E181" s="6"/>
      <c r="F181" s="6"/>
      <c r="G181" s="6"/>
      <c r="H181" s="6"/>
      <c r="I181" s="6"/>
      <c r="J181" s="6"/>
      <c r="K181" s="6"/>
      <c r="L181" s="6"/>
      <c r="M181" s="5" t="str">
        <f t="shared" si="12"/>
        <v/>
      </c>
      <c r="N181" s="6"/>
      <c r="O181" s="6"/>
      <c r="P181" s="10" t="str">
        <f t="shared" si="13"/>
        <v/>
      </c>
      <c r="Q181" s="7"/>
      <c r="R181" s="11">
        <f t="shared" si="14"/>
        <v>46151</v>
      </c>
      <c r="S181" s="5">
        <f t="shared" si="15"/>
        <v>2026</v>
      </c>
      <c r="T181" s="5">
        <f t="shared" si="16"/>
        <v>18</v>
      </c>
      <c r="U181" s="5" t="str">
        <f t="shared" si="17"/>
        <v>2025-26</v>
      </c>
    </row>
    <row r="182" spans="1:21" x14ac:dyDescent="0.2">
      <c r="A182" s="8">
        <v>46153</v>
      </c>
      <c r="B182" s="6">
        <v>0</v>
      </c>
      <c r="C182" s="6">
        <v>0</v>
      </c>
      <c r="D182" s="6">
        <v>0</v>
      </c>
      <c r="E182" s="6"/>
      <c r="F182" s="6"/>
      <c r="G182" s="6"/>
      <c r="H182" s="6"/>
      <c r="I182" s="6"/>
      <c r="J182" s="6"/>
      <c r="K182" s="6"/>
      <c r="L182" s="6"/>
      <c r="M182" s="5" t="str">
        <f t="shared" si="12"/>
        <v/>
      </c>
      <c r="N182" s="6"/>
      <c r="O182" s="6"/>
      <c r="P182" s="10" t="str">
        <f t="shared" si="13"/>
        <v/>
      </c>
      <c r="Q182" s="7"/>
      <c r="R182" s="11">
        <f t="shared" si="14"/>
        <v>46158</v>
      </c>
      <c r="S182" s="5">
        <f t="shared" si="15"/>
        <v>2026</v>
      </c>
      <c r="T182" s="5">
        <f t="shared" si="16"/>
        <v>19</v>
      </c>
      <c r="U182" s="5" t="str">
        <f t="shared" si="17"/>
        <v>2025-26</v>
      </c>
    </row>
    <row r="183" spans="1:21" x14ac:dyDescent="0.2">
      <c r="A183" s="8">
        <v>46160</v>
      </c>
      <c r="B183" s="6">
        <v>1</v>
      </c>
      <c r="C183" s="6">
        <v>1</v>
      </c>
      <c r="D183" s="6">
        <v>2</v>
      </c>
      <c r="E183" s="6"/>
      <c r="F183" s="6"/>
      <c r="G183" s="6"/>
      <c r="H183" s="6"/>
      <c r="I183" s="6"/>
      <c r="J183" s="6"/>
      <c r="K183" s="6"/>
      <c r="L183" s="6"/>
      <c r="M183" s="5" t="str">
        <f t="shared" si="12"/>
        <v/>
      </c>
      <c r="N183" s="6"/>
      <c r="O183" s="6"/>
      <c r="P183" s="10" t="str">
        <f t="shared" si="13"/>
        <v/>
      </c>
      <c r="Q183" s="7"/>
      <c r="R183" s="11">
        <f t="shared" si="14"/>
        <v>46165</v>
      </c>
      <c r="S183" s="5">
        <f t="shared" si="15"/>
        <v>2026</v>
      </c>
      <c r="T183" s="5">
        <f t="shared" si="16"/>
        <v>20</v>
      </c>
      <c r="U183" s="5" t="str">
        <f t="shared" si="17"/>
        <v>2025-26</v>
      </c>
    </row>
    <row r="184" spans="1:21" x14ac:dyDescent="0.2">
      <c r="A184" s="8">
        <v>46167</v>
      </c>
      <c r="B184" s="6">
        <v>1</v>
      </c>
      <c r="C184" s="6">
        <v>2</v>
      </c>
      <c r="D184" s="6">
        <v>1</v>
      </c>
      <c r="E184" s="6"/>
      <c r="F184" s="6"/>
      <c r="G184" s="6"/>
      <c r="H184" s="6"/>
      <c r="I184" s="6"/>
      <c r="J184" s="6"/>
      <c r="K184" s="6"/>
      <c r="L184" s="6"/>
      <c r="M184" s="5" t="str">
        <f t="shared" si="12"/>
        <v/>
      </c>
      <c r="N184" s="6"/>
      <c r="O184" s="6"/>
      <c r="P184" s="10" t="str">
        <f t="shared" si="13"/>
        <v/>
      </c>
      <c r="Q184" s="7"/>
      <c r="R184" s="11">
        <f t="shared" si="14"/>
        <v>46172</v>
      </c>
      <c r="S184" s="5">
        <f t="shared" si="15"/>
        <v>2026</v>
      </c>
      <c r="T184" s="5">
        <f t="shared" si="16"/>
        <v>21</v>
      </c>
      <c r="U184" s="5" t="str">
        <f t="shared" si="17"/>
        <v>2025-26</v>
      </c>
    </row>
    <row r="185" spans="1:21" x14ac:dyDescent="0.2">
      <c r="A185" s="8">
        <v>46174</v>
      </c>
      <c r="B185" s="6">
        <v>0</v>
      </c>
      <c r="C185" s="6">
        <v>0</v>
      </c>
      <c r="D185" s="6">
        <v>0</v>
      </c>
      <c r="E185" s="6"/>
      <c r="F185" s="6"/>
      <c r="G185" s="6"/>
      <c r="H185" s="6"/>
      <c r="I185" s="6"/>
      <c r="J185" s="6"/>
      <c r="K185" s="6"/>
      <c r="L185" s="6"/>
      <c r="M185" s="5" t="str">
        <f t="shared" si="12"/>
        <v/>
      </c>
      <c r="N185" s="6"/>
      <c r="O185" s="6"/>
      <c r="P185" s="10" t="str">
        <f t="shared" si="13"/>
        <v/>
      </c>
      <c r="Q185" s="7"/>
      <c r="R185" s="11">
        <f t="shared" si="14"/>
        <v>46179</v>
      </c>
      <c r="S185" s="5">
        <f t="shared" si="15"/>
        <v>2026</v>
      </c>
      <c r="T185" s="5">
        <f t="shared" si="16"/>
        <v>22</v>
      </c>
      <c r="U185" s="5" t="str">
        <f t="shared" si="17"/>
        <v>2025-26</v>
      </c>
    </row>
    <row r="186" spans="1:21" x14ac:dyDescent="0.2">
      <c r="A186" s="8">
        <v>46181</v>
      </c>
      <c r="B186" s="6">
        <v>0</v>
      </c>
      <c r="C186" s="6">
        <v>0</v>
      </c>
      <c r="D186" s="6">
        <v>1</v>
      </c>
      <c r="E186" s="6"/>
      <c r="F186" s="6"/>
      <c r="G186" s="6"/>
      <c r="H186" s="6"/>
      <c r="I186" s="6"/>
      <c r="J186" s="6"/>
      <c r="K186" s="6"/>
      <c r="L186" s="6"/>
      <c r="M186" s="5" t="str">
        <f t="shared" si="12"/>
        <v/>
      </c>
      <c r="N186" s="6"/>
      <c r="O186" s="6"/>
      <c r="P186" s="10" t="str">
        <f t="shared" si="13"/>
        <v/>
      </c>
      <c r="Q186" s="7"/>
      <c r="R186" s="11">
        <f t="shared" si="14"/>
        <v>46186</v>
      </c>
      <c r="S186" s="5">
        <f t="shared" si="15"/>
        <v>2026</v>
      </c>
      <c r="T186" s="5">
        <f t="shared" si="16"/>
        <v>23</v>
      </c>
      <c r="U186" s="5" t="str">
        <f t="shared" si="17"/>
        <v>2025-26</v>
      </c>
    </row>
    <row r="187" spans="1:21" x14ac:dyDescent="0.2">
      <c r="A187" s="8">
        <v>46188</v>
      </c>
      <c r="B187" s="6">
        <v>0</v>
      </c>
      <c r="C187" s="6">
        <v>6</v>
      </c>
      <c r="D187" s="6">
        <v>0</v>
      </c>
      <c r="E187" s="6"/>
      <c r="F187" s="6"/>
      <c r="G187" s="6"/>
      <c r="H187" s="6"/>
      <c r="I187" s="6"/>
      <c r="J187" s="6"/>
      <c r="K187" s="6"/>
      <c r="L187" s="6"/>
      <c r="M187" s="5" t="str">
        <f t="shared" si="12"/>
        <v/>
      </c>
      <c r="N187" s="6"/>
      <c r="O187" s="6"/>
      <c r="P187" s="10" t="str">
        <f t="shared" si="13"/>
        <v/>
      </c>
      <c r="Q187" s="7"/>
      <c r="R187" s="11">
        <f t="shared" si="14"/>
        <v>46193</v>
      </c>
      <c r="S187" s="5">
        <f t="shared" si="15"/>
        <v>2026</v>
      </c>
      <c r="T187" s="5">
        <f t="shared" si="16"/>
        <v>24</v>
      </c>
      <c r="U187" s="5" t="str">
        <f t="shared" si="17"/>
        <v>2025-26</v>
      </c>
    </row>
    <row r="188" spans="1:21" x14ac:dyDescent="0.2">
      <c r="A188" s="8">
        <v>46195</v>
      </c>
      <c r="B188" s="6">
        <v>0</v>
      </c>
      <c r="C188" s="6">
        <v>0</v>
      </c>
      <c r="D188" s="6">
        <v>0</v>
      </c>
      <c r="E188" s="6"/>
      <c r="F188" s="6"/>
      <c r="G188" s="6"/>
      <c r="H188" s="6"/>
      <c r="I188" s="6"/>
      <c r="J188" s="6"/>
      <c r="K188" s="6"/>
      <c r="L188" s="6"/>
      <c r="M188" s="5" t="str">
        <f t="shared" si="12"/>
        <v/>
      </c>
      <c r="N188" s="6"/>
      <c r="O188" s="6"/>
      <c r="P188" s="10" t="str">
        <f t="shared" si="13"/>
        <v/>
      </c>
      <c r="Q188" s="7"/>
      <c r="R188" s="11">
        <f t="shared" si="14"/>
        <v>46200</v>
      </c>
      <c r="S188" s="5">
        <f t="shared" si="15"/>
        <v>2026</v>
      </c>
      <c r="T188" s="5">
        <f t="shared" si="16"/>
        <v>25</v>
      </c>
      <c r="U188" s="5" t="str">
        <f t="shared" si="17"/>
        <v>2025-26</v>
      </c>
    </row>
    <row r="189" spans="1:21" x14ac:dyDescent="0.2">
      <c r="A189" s="8">
        <v>46202</v>
      </c>
      <c r="B189" s="6">
        <v>0</v>
      </c>
      <c r="C189" s="6">
        <v>0</v>
      </c>
      <c r="D189" s="6">
        <v>0</v>
      </c>
      <c r="E189" s="6"/>
      <c r="F189" s="6"/>
      <c r="G189" s="6"/>
      <c r="H189" s="6"/>
      <c r="I189" s="6"/>
      <c r="J189" s="6"/>
      <c r="K189" s="6"/>
      <c r="L189" s="6"/>
      <c r="M189" s="5" t="str">
        <f t="shared" si="12"/>
        <v/>
      </c>
      <c r="N189" s="6"/>
      <c r="O189" s="6"/>
      <c r="P189" s="10" t="str">
        <f t="shared" si="13"/>
        <v/>
      </c>
      <c r="Q189" s="7"/>
      <c r="R189" s="11">
        <f t="shared" si="14"/>
        <v>46207</v>
      </c>
      <c r="S189" s="5">
        <f t="shared" si="15"/>
        <v>2026</v>
      </c>
      <c r="T189" s="5">
        <f t="shared" si="16"/>
        <v>26</v>
      </c>
      <c r="U189" s="5" t="str">
        <f t="shared" si="17"/>
        <v>2025-26</v>
      </c>
    </row>
    <row r="190" spans="1:21" x14ac:dyDescent="0.2">
      <c r="A190" s="8">
        <v>46209</v>
      </c>
      <c r="B190" s="6">
        <v>1</v>
      </c>
      <c r="C190" s="6">
        <v>0</v>
      </c>
      <c r="D190" s="6">
        <v>0</v>
      </c>
      <c r="E190" s="6"/>
      <c r="F190" s="6"/>
      <c r="G190" s="6"/>
      <c r="H190" s="6"/>
      <c r="I190" s="6"/>
      <c r="J190" s="6"/>
      <c r="K190" s="6"/>
      <c r="L190" s="6"/>
      <c r="M190" s="5" t="str">
        <f t="shared" si="12"/>
        <v/>
      </c>
      <c r="N190" s="6"/>
      <c r="O190" s="6"/>
      <c r="P190" s="10" t="str">
        <f t="shared" si="13"/>
        <v/>
      </c>
      <c r="Q190" s="7"/>
      <c r="R190" s="11">
        <f t="shared" si="14"/>
        <v>46214</v>
      </c>
      <c r="S190" s="5">
        <f t="shared" si="15"/>
        <v>2026</v>
      </c>
      <c r="T190" s="5">
        <f t="shared" si="16"/>
        <v>27</v>
      </c>
      <c r="U190" s="5" t="str">
        <f t="shared" si="17"/>
        <v>2025-26</v>
      </c>
    </row>
    <row r="191" spans="1:21" x14ac:dyDescent="0.2">
      <c r="A191" s="8">
        <v>46216</v>
      </c>
      <c r="B191" s="6">
        <v>0</v>
      </c>
      <c r="C191" s="6">
        <v>0</v>
      </c>
      <c r="D191" s="6">
        <v>0</v>
      </c>
      <c r="E191" s="6"/>
      <c r="F191" s="6"/>
      <c r="G191" s="6"/>
      <c r="H191" s="6"/>
      <c r="I191" s="6"/>
      <c r="J191" s="6"/>
      <c r="K191" s="6"/>
      <c r="L191" s="6"/>
      <c r="M191" s="5" t="str">
        <f t="shared" si="12"/>
        <v/>
      </c>
      <c r="N191" s="6"/>
      <c r="O191" s="6"/>
      <c r="P191" s="10" t="str">
        <f t="shared" si="13"/>
        <v/>
      </c>
      <c r="Q191" s="7"/>
      <c r="R191" s="11">
        <f t="shared" si="14"/>
        <v>46221</v>
      </c>
      <c r="S191" s="5">
        <f t="shared" si="15"/>
        <v>2026</v>
      </c>
      <c r="T191" s="5">
        <f t="shared" si="16"/>
        <v>28</v>
      </c>
      <c r="U191" s="5" t="str">
        <f t="shared" si="17"/>
        <v>2025-26</v>
      </c>
    </row>
    <row r="192" spans="1:21" x14ac:dyDescent="0.2">
      <c r="A192" s="8">
        <v>46223</v>
      </c>
      <c r="B192" s="6">
        <v>1</v>
      </c>
      <c r="C192" s="6">
        <v>0</v>
      </c>
      <c r="D192" s="6">
        <v>0</v>
      </c>
      <c r="E192" s="6"/>
      <c r="F192" s="6"/>
      <c r="G192" s="6"/>
      <c r="H192" s="6"/>
      <c r="I192" s="6"/>
      <c r="J192" s="6"/>
      <c r="K192" s="6"/>
      <c r="L192" s="6"/>
      <c r="M192" s="5" t="str">
        <f t="shared" si="12"/>
        <v/>
      </c>
      <c r="N192" s="6"/>
      <c r="O192" s="6"/>
      <c r="P192" s="10" t="str">
        <f t="shared" si="13"/>
        <v/>
      </c>
      <c r="Q192" s="7"/>
      <c r="R192" s="11">
        <f t="shared" si="14"/>
        <v>46228</v>
      </c>
      <c r="S192" s="5">
        <f t="shared" si="15"/>
        <v>2026</v>
      </c>
      <c r="T192" s="5">
        <f t="shared" si="16"/>
        <v>29</v>
      </c>
      <c r="U192" s="5" t="str">
        <f t="shared" si="17"/>
        <v>2025-26</v>
      </c>
    </row>
    <row r="193" spans="1:21" x14ac:dyDescent="0.2">
      <c r="A193" s="8">
        <v>46230</v>
      </c>
      <c r="B193" s="6">
        <v>1</v>
      </c>
      <c r="C193" s="6">
        <v>0</v>
      </c>
      <c r="D193" s="6">
        <v>0</v>
      </c>
      <c r="E193" s="6"/>
      <c r="F193" s="6"/>
      <c r="G193" s="6"/>
      <c r="H193" s="6"/>
      <c r="I193" s="6"/>
      <c r="J193" s="6"/>
      <c r="K193" s="6"/>
      <c r="L193" s="6"/>
      <c r="M193" s="5" t="str">
        <f t="shared" si="12"/>
        <v/>
      </c>
      <c r="N193" s="6"/>
      <c r="O193" s="6"/>
      <c r="P193" s="10" t="str">
        <f t="shared" si="13"/>
        <v/>
      </c>
      <c r="Q193" s="7"/>
      <c r="R193" s="11">
        <f t="shared" si="14"/>
        <v>46235</v>
      </c>
      <c r="S193" s="5">
        <f t="shared" si="15"/>
        <v>2026</v>
      </c>
      <c r="T193" s="5">
        <f t="shared" si="16"/>
        <v>30</v>
      </c>
      <c r="U193" s="5" t="str">
        <f t="shared" si="17"/>
        <v>2025-26</v>
      </c>
    </row>
    <row r="194" spans="1:21" x14ac:dyDescent="0.2">
      <c r="A194" s="8">
        <v>46237</v>
      </c>
      <c r="B194" s="6">
        <v>0</v>
      </c>
      <c r="C194" s="6">
        <v>0</v>
      </c>
      <c r="D194" s="6">
        <v>0</v>
      </c>
      <c r="E194" s="6"/>
      <c r="F194" s="6"/>
      <c r="G194" s="6"/>
      <c r="H194" s="6"/>
      <c r="I194" s="6"/>
      <c r="J194" s="6"/>
      <c r="K194" s="6"/>
      <c r="L194" s="6"/>
      <c r="M194" s="5" t="str">
        <f t="shared" ref="M194:M237" si="18">IF(AND(K194="",L194=""),"",SUM(K194:L194))</f>
        <v/>
      </c>
      <c r="N194" s="6"/>
      <c r="O194" s="6"/>
      <c r="P194" s="10" t="str">
        <f t="shared" ref="P194:P237" si="19">IF(OR(M194="",M194=0),"",IF(N194="",0,N194)/M194)</f>
        <v/>
      </c>
      <c r="Q194" s="7"/>
      <c r="R194" s="11">
        <f t="shared" ref="R194:R237" si="20">A194+5</f>
        <v>46242</v>
      </c>
      <c r="S194" s="5">
        <f t="shared" ref="S194:S237" si="21">IF(R194&gt;=DATE(YEAR(R194)+1,1,4)-WEEKDAY(DATE(YEAR(R194)+1,1,4))+1,YEAR(R194)+1,IF(R194&lt;DATE(YEAR(R194),1,4)-WEEKDAY(DATE(YEAR(R194),1,4))+1,YEAR(R194)-1,YEAR(R194)))</f>
        <v>2026</v>
      </c>
      <c r="T194" s="5">
        <f t="shared" ref="T194:T237" si="22">INT((R194-(DATE(S194,1,4)-WEEKDAY(DATE(S194,1,4))+1))/7)+1</f>
        <v>31</v>
      </c>
      <c r="U194" s="5" t="str">
        <f t="shared" ref="U194:U237" si="23">IF(T194&gt;=36,S194&amp;"-"&amp;RIGHT(S194+1,2),(S194-1)&amp;"-"&amp;RIGHT(S194,2))</f>
        <v>2025-26</v>
      </c>
    </row>
    <row r="195" spans="1:21" x14ac:dyDescent="0.2">
      <c r="A195" s="8">
        <v>46244</v>
      </c>
      <c r="B195" s="6">
        <v>0</v>
      </c>
      <c r="C195" s="6">
        <v>0</v>
      </c>
      <c r="D195" s="6">
        <v>0</v>
      </c>
      <c r="E195" s="6"/>
      <c r="F195" s="6"/>
      <c r="G195" s="6"/>
      <c r="H195" s="6"/>
      <c r="I195" s="6"/>
      <c r="J195" s="6"/>
      <c r="K195" s="6"/>
      <c r="L195" s="6"/>
      <c r="M195" s="5" t="str">
        <f t="shared" si="18"/>
        <v/>
      </c>
      <c r="N195" s="6"/>
      <c r="O195" s="6"/>
      <c r="P195" s="10" t="str">
        <f t="shared" si="19"/>
        <v/>
      </c>
      <c r="Q195" s="7"/>
      <c r="R195" s="11">
        <f t="shared" si="20"/>
        <v>46249</v>
      </c>
      <c r="S195" s="5">
        <f t="shared" si="21"/>
        <v>2026</v>
      </c>
      <c r="T195" s="5">
        <f t="shared" si="22"/>
        <v>32</v>
      </c>
      <c r="U195" s="5" t="str">
        <f t="shared" si="23"/>
        <v>2025-26</v>
      </c>
    </row>
    <row r="196" spans="1:21" x14ac:dyDescent="0.2">
      <c r="A196" s="8">
        <v>46251</v>
      </c>
      <c r="B196" s="6">
        <v>0</v>
      </c>
      <c r="C196" s="6">
        <v>0</v>
      </c>
      <c r="D196" s="6">
        <v>0</v>
      </c>
      <c r="E196" s="6"/>
      <c r="F196" s="6"/>
      <c r="G196" s="6"/>
      <c r="H196" s="6"/>
      <c r="I196" s="6"/>
      <c r="J196" s="6"/>
      <c r="K196" s="6"/>
      <c r="L196" s="6"/>
      <c r="M196" s="5" t="str">
        <f t="shared" si="18"/>
        <v/>
      </c>
      <c r="N196" s="6"/>
      <c r="O196" s="6"/>
      <c r="P196" s="10" t="str">
        <f t="shared" si="19"/>
        <v/>
      </c>
      <c r="Q196" s="7"/>
      <c r="R196" s="11">
        <f t="shared" si="20"/>
        <v>46256</v>
      </c>
      <c r="S196" s="5">
        <f t="shared" si="21"/>
        <v>2026</v>
      </c>
      <c r="T196" s="5">
        <f t="shared" si="22"/>
        <v>33</v>
      </c>
      <c r="U196" s="5" t="str">
        <f t="shared" si="23"/>
        <v>2025-26</v>
      </c>
    </row>
    <row r="197" spans="1:21" x14ac:dyDescent="0.2">
      <c r="A197" s="8">
        <v>46258</v>
      </c>
      <c r="B197" s="6">
        <v>0</v>
      </c>
      <c r="C197" s="6">
        <v>1</v>
      </c>
      <c r="D197" s="6">
        <v>0</v>
      </c>
      <c r="E197" s="6"/>
      <c r="F197" s="6"/>
      <c r="G197" s="6"/>
      <c r="H197" s="6"/>
      <c r="I197" s="6"/>
      <c r="J197" s="6"/>
      <c r="K197" s="6"/>
      <c r="L197" s="6"/>
      <c r="M197" s="5" t="str">
        <f t="shared" si="18"/>
        <v/>
      </c>
      <c r="N197" s="6"/>
      <c r="O197" s="6"/>
      <c r="P197" s="10" t="str">
        <f t="shared" si="19"/>
        <v/>
      </c>
      <c r="Q197" s="7"/>
      <c r="R197" s="11">
        <f t="shared" si="20"/>
        <v>46263</v>
      </c>
      <c r="S197" s="5">
        <f t="shared" si="21"/>
        <v>2026</v>
      </c>
      <c r="T197" s="5">
        <f t="shared" si="22"/>
        <v>34</v>
      </c>
      <c r="U197" s="5" t="str">
        <f t="shared" si="23"/>
        <v>2025-26</v>
      </c>
    </row>
    <row r="198" spans="1:21" x14ac:dyDescent="0.2">
      <c r="A198" s="8">
        <v>46265</v>
      </c>
      <c r="B198" s="6">
        <v>0</v>
      </c>
      <c r="C198" s="6">
        <v>0</v>
      </c>
      <c r="D198" s="6">
        <v>0</v>
      </c>
      <c r="E198" s="6"/>
      <c r="F198" s="6"/>
      <c r="G198" s="6"/>
      <c r="H198" s="6"/>
      <c r="I198" s="6"/>
      <c r="J198" s="6"/>
      <c r="K198" s="6"/>
      <c r="L198" s="6"/>
      <c r="M198" s="5" t="str">
        <f t="shared" si="18"/>
        <v/>
      </c>
      <c r="N198" s="6"/>
      <c r="O198" s="6"/>
      <c r="P198" s="10" t="str">
        <f t="shared" si="19"/>
        <v/>
      </c>
      <c r="Q198" s="7"/>
      <c r="R198" s="11">
        <f t="shared" si="20"/>
        <v>46270</v>
      </c>
      <c r="S198" s="5">
        <f t="shared" si="21"/>
        <v>2026</v>
      </c>
      <c r="T198" s="5">
        <f t="shared" si="22"/>
        <v>35</v>
      </c>
      <c r="U198" s="5" t="str">
        <f t="shared" si="23"/>
        <v>2025-26</v>
      </c>
    </row>
    <row r="199" spans="1:21" x14ac:dyDescent="0.2">
      <c r="A199" s="8">
        <v>46272</v>
      </c>
      <c r="B199" s="6">
        <v>4</v>
      </c>
      <c r="C199" s="6">
        <v>0</v>
      </c>
      <c r="D199" s="6">
        <v>0</v>
      </c>
      <c r="E199" s="6"/>
      <c r="F199" s="6"/>
      <c r="G199" s="6"/>
      <c r="H199" s="6"/>
      <c r="I199" s="6"/>
      <c r="J199" s="6"/>
      <c r="K199" s="6"/>
      <c r="L199" s="6"/>
      <c r="M199" s="5" t="str">
        <f t="shared" si="18"/>
        <v/>
      </c>
      <c r="N199" s="6"/>
      <c r="O199" s="6"/>
      <c r="P199" s="10" t="str">
        <f t="shared" si="19"/>
        <v/>
      </c>
      <c r="Q199" s="7" t="s">
        <v>61</v>
      </c>
      <c r="R199" s="11">
        <f t="shared" si="20"/>
        <v>46277</v>
      </c>
      <c r="S199" s="5">
        <f t="shared" si="21"/>
        <v>2026</v>
      </c>
      <c r="T199" s="5">
        <f t="shared" si="22"/>
        <v>36</v>
      </c>
      <c r="U199" s="5" t="str">
        <f t="shared" si="23"/>
        <v>2026-27</v>
      </c>
    </row>
    <row r="200" spans="1:21" x14ac:dyDescent="0.2">
      <c r="A200" s="8">
        <v>46279</v>
      </c>
      <c r="B200" s="6">
        <v>5</v>
      </c>
      <c r="C200" s="6">
        <v>1</v>
      </c>
      <c r="D200" s="6">
        <v>0</v>
      </c>
      <c r="E200" s="6"/>
      <c r="F200" s="6"/>
      <c r="G200" s="6"/>
      <c r="H200" s="6"/>
      <c r="I200" s="6"/>
      <c r="J200" s="6"/>
      <c r="K200" s="6"/>
      <c r="L200" s="6"/>
      <c r="M200" s="5" t="str">
        <f t="shared" si="18"/>
        <v/>
      </c>
      <c r="N200" s="6"/>
      <c r="O200" s="6"/>
      <c r="P200" s="10" t="str">
        <f t="shared" si="19"/>
        <v/>
      </c>
      <c r="Q200" s="7"/>
      <c r="R200" s="11">
        <f t="shared" si="20"/>
        <v>46284</v>
      </c>
      <c r="S200" s="5">
        <f t="shared" si="21"/>
        <v>2026</v>
      </c>
      <c r="T200" s="5">
        <f t="shared" si="22"/>
        <v>37</v>
      </c>
      <c r="U200" s="5" t="str">
        <f t="shared" si="23"/>
        <v>2026-27</v>
      </c>
    </row>
    <row r="201" spans="1:21" x14ac:dyDescent="0.2">
      <c r="A201" s="8">
        <v>46286</v>
      </c>
      <c r="B201" s="6">
        <v>4</v>
      </c>
      <c r="C201" s="6">
        <v>0</v>
      </c>
      <c r="D201" s="6">
        <v>0</v>
      </c>
      <c r="E201" s="6">
        <v>1</v>
      </c>
      <c r="F201" s="6">
        <v>1</v>
      </c>
      <c r="G201" s="6">
        <v>0</v>
      </c>
      <c r="H201" s="6">
        <v>0</v>
      </c>
      <c r="I201" s="6">
        <v>0</v>
      </c>
      <c r="J201" s="6">
        <v>0</v>
      </c>
      <c r="K201" s="6">
        <v>0</v>
      </c>
      <c r="L201" s="6">
        <v>0</v>
      </c>
      <c r="M201" s="5">
        <f t="shared" si="18"/>
        <v>0</v>
      </c>
      <c r="N201" s="6">
        <v>0</v>
      </c>
      <c r="O201" s="6">
        <v>0</v>
      </c>
      <c r="P201" s="10">
        <v>0</v>
      </c>
      <c r="Q201" s="7"/>
      <c r="R201" s="11">
        <f t="shared" si="20"/>
        <v>46291</v>
      </c>
      <c r="S201" s="5">
        <f t="shared" si="21"/>
        <v>2026</v>
      </c>
      <c r="T201" s="5">
        <f t="shared" si="22"/>
        <v>38</v>
      </c>
      <c r="U201" s="5" t="str">
        <f t="shared" si="23"/>
        <v>2026-27</v>
      </c>
    </row>
    <row r="202" spans="1:21" x14ac:dyDescent="0.2">
      <c r="A202" s="8">
        <v>46293</v>
      </c>
      <c r="B202" s="6">
        <v>4</v>
      </c>
      <c r="C202" s="6">
        <v>0</v>
      </c>
      <c r="D202" s="6">
        <v>1</v>
      </c>
      <c r="E202" s="6">
        <v>0</v>
      </c>
      <c r="F202" s="6">
        <v>0</v>
      </c>
      <c r="G202" s="6">
        <v>0</v>
      </c>
      <c r="H202" s="6">
        <v>0</v>
      </c>
      <c r="I202" s="6">
        <v>1</v>
      </c>
      <c r="J202" s="6">
        <v>1</v>
      </c>
      <c r="K202" s="6">
        <v>0</v>
      </c>
      <c r="L202" s="6">
        <v>0</v>
      </c>
      <c r="M202" s="5">
        <f t="shared" si="18"/>
        <v>0</v>
      </c>
      <c r="N202" s="6">
        <v>0</v>
      </c>
      <c r="O202" s="6">
        <v>0</v>
      </c>
      <c r="P202" s="10">
        <v>0</v>
      </c>
      <c r="Q202" s="7"/>
      <c r="R202" s="11">
        <f t="shared" si="20"/>
        <v>46298</v>
      </c>
      <c r="S202" s="5">
        <f t="shared" si="21"/>
        <v>2026</v>
      </c>
      <c r="T202" s="5">
        <f t="shared" si="22"/>
        <v>39</v>
      </c>
      <c r="U202" s="5" t="str">
        <f t="shared" si="23"/>
        <v>2026-27</v>
      </c>
    </row>
    <row r="203" spans="1:21" x14ac:dyDescent="0.2">
      <c r="A203" s="8">
        <v>46300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5" t="str">
        <f t="shared" si="18"/>
        <v/>
      </c>
      <c r="N203" s="6"/>
      <c r="O203" s="6"/>
      <c r="P203" s="10" t="str">
        <f t="shared" si="19"/>
        <v/>
      </c>
      <c r="Q203" s="7"/>
      <c r="R203" s="11">
        <f t="shared" si="20"/>
        <v>46305</v>
      </c>
      <c r="S203" s="5">
        <f t="shared" si="21"/>
        <v>2026</v>
      </c>
      <c r="T203" s="5">
        <f t="shared" si="22"/>
        <v>40</v>
      </c>
      <c r="U203" s="5" t="str">
        <f t="shared" si="23"/>
        <v>2026-27</v>
      </c>
    </row>
    <row r="204" spans="1:21" x14ac:dyDescent="0.2">
      <c r="A204" s="8">
        <v>46307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5" t="str">
        <f t="shared" si="18"/>
        <v/>
      </c>
      <c r="N204" s="6"/>
      <c r="O204" s="6"/>
      <c r="P204" s="10" t="str">
        <f t="shared" si="19"/>
        <v/>
      </c>
      <c r="Q204" s="7"/>
      <c r="R204" s="11">
        <f t="shared" si="20"/>
        <v>46312</v>
      </c>
      <c r="S204" s="5">
        <f t="shared" si="21"/>
        <v>2026</v>
      </c>
      <c r="T204" s="5">
        <f t="shared" si="22"/>
        <v>41</v>
      </c>
      <c r="U204" s="5" t="str">
        <f t="shared" si="23"/>
        <v>2026-27</v>
      </c>
    </row>
    <row r="205" spans="1:21" x14ac:dyDescent="0.2">
      <c r="A205" s="8">
        <v>46314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5" t="str">
        <f t="shared" si="18"/>
        <v/>
      </c>
      <c r="N205" s="6"/>
      <c r="O205" s="6"/>
      <c r="P205" s="10" t="str">
        <f t="shared" si="19"/>
        <v/>
      </c>
      <c r="Q205" s="7"/>
      <c r="R205" s="11">
        <f t="shared" si="20"/>
        <v>46319</v>
      </c>
      <c r="S205" s="5">
        <f t="shared" si="21"/>
        <v>2026</v>
      </c>
      <c r="T205" s="5">
        <f t="shared" si="22"/>
        <v>42</v>
      </c>
      <c r="U205" s="5" t="str">
        <f t="shared" si="23"/>
        <v>2026-27</v>
      </c>
    </row>
    <row r="206" spans="1:21" x14ac:dyDescent="0.2">
      <c r="A206" s="8">
        <v>46321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5" t="str">
        <f t="shared" si="18"/>
        <v/>
      </c>
      <c r="N206" s="6"/>
      <c r="O206" s="6"/>
      <c r="P206" s="10" t="str">
        <f t="shared" si="19"/>
        <v/>
      </c>
      <c r="Q206" s="7"/>
      <c r="R206" s="11">
        <f t="shared" si="20"/>
        <v>46326</v>
      </c>
      <c r="S206" s="5">
        <f t="shared" si="21"/>
        <v>2026</v>
      </c>
      <c r="T206" s="5">
        <f t="shared" si="22"/>
        <v>43</v>
      </c>
      <c r="U206" s="5" t="str">
        <f t="shared" si="23"/>
        <v>2026-27</v>
      </c>
    </row>
    <row r="207" spans="1:21" x14ac:dyDescent="0.2">
      <c r="A207" s="8">
        <v>46328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5" t="str">
        <f t="shared" si="18"/>
        <v/>
      </c>
      <c r="N207" s="6"/>
      <c r="O207" s="6"/>
      <c r="P207" s="10" t="str">
        <f t="shared" si="19"/>
        <v/>
      </c>
      <c r="Q207" s="7"/>
      <c r="R207" s="11">
        <f t="shared" si="20"/>
        <v>46333</v>
      </c>
      <c r="S207" s="5">
        <f t="shared" si="21"/>
        <v>2026</v>
      </c>
      <c r="T207" s="5">
        <f t="shared" si="22"/>
        <v>44</v>
      </c>
      <c r="U207" s="5" t="str">
        <f t="shared" si="23"/>
        <v>2026-27</v>
      </c>
    </row>
    <row r="208" spans="1:21" x14ac:dyDescent="0.2">
      <c r="A208" s="8">
        <v>46335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5" t="str">
        <f t="shared" si="18"/>
        <v/>
      </c>
      <c r="N208" s="6"/>
      <c r="O208" s="6"/>
      <c r="P208" s="10" t="str">
        <f t="shared" si="19"/>
        <v/>
      </c>
      <c r="Q208" s="7"/>
      <c r="R208" s="11">
        <f t="shared" si="20"/>
        <v>46340</v>
      </c>
      <c r="S208" s="5">
        <f t="shared" si="21"/>
        <v>2026</v>
      </c>
      <c r="T208" s="5">
        <f t="shared" si="22"/>
        <v>45</v>
      </c>
      <c r="U208" s="5" t="str">
        <f t="shared" si="23"/>
        <v>2026-27</v>
      </c>
    </row>
    <row r="209" spans="1:21" x14ac:dyDescent="0.2">
      <c r="A209" s="8">
        <v>46342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5" t="str">
        <f t="shared" si="18"/>
        <v/>
      </c>
      <c r="N209" s="6"/>
      <c r="O209" s="6"/>
      <c r="P209" s="10" t="str">
        <f t="shared" si="19"/>
        <v/>
      </c>
      <c r="Q209" s="7"/>
      <c r="R209" s="11">
        <f t="shared" si="20"/>
        <v>46347</v>
      </c>
      <c r="S209" s="5">
        <f t="shared" si="21"/>
        <v>2026</v>
      </c>
      <c r="T209" s="5">
        <f t="shared" si="22"/>
        <v>46</v>
      </c>
      <c r="U209" s="5" t="str">
        <f t="shared" si="23"/>
        <v>2026-27</v>
      </c>
    </row>
    <row r="210" spans="1:21" x14ac:dyDescent="0.2">
      <c r="A210" s="8">
        <v>46349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5" t="str">
        <f t="shared" si="18"/>
        <v/>
      </c>
      <c r="N210" s="6"/>
      <c r="O210" s="6"/>
      <c r="P210" s="10" t="str">
        <f t="shared" si="19"/>
        <v/>
      </c>
      <c r="Q210" s="7"/>
      <c r="R210" s="11">
        <f t="shared" si="20"/>
        <v>46354</v>
      </c>
      <c r="S210" s="5">
        <f t="shared" si="21"/>
        <v>2026</v>
      </c>
      <c r="T210" s="5">
        <f t="shared" si="22"/>
        <v>47</v>
      </c>
      <c r="U210" s="5" t="str">
        <f t="shared" si="23"/>
        <v>2026-27</v>
      </c>
    </row>
    <row r="211" spans="1:21" x14ac:dyDescent="0.2">
      <c r="A211" s="8">
        <v>46356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5" t="str">
        <f t="shared" si="18"/>
        <v/>
      </c>
      <c r="N211" s="6"/>
      <c r="O211" s="6"/>
      <c r="P211" s="10" t="str">
        <f t="shared" si="19"/>
        <v/>
      </c>
      <c r="Q211" s="7"/>
      <c r="R211" s="11">
        <f t="shared" si="20"/>
        <v>46361</v>
      </c>
      <c r="S211" s="5">
        <f t="shared" si="21"/>
        <v>2026</v>
      </c>
      <c r="T211" s="5">
        <f t="shared" si="22"/>
        <v>48</v>
      </c>
      <c r="U211" s="5" t="str">
        <f t="shared" si="23"/>
        <v>2026-27</v>
      </c>
    </row>
    <row r="212" spans="1:21" x14ac:dyDescent="0.2">
      <c r="A212" s="8">
        <v>46363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5" t="str">
        <f t="shared" si="18"/>
        <v/>
      </c>
      <c r="N212" s="6"/>
      <c r="O212" s="6"/>
      <c r="P212" s="10" t="str">
        <f t="shared" si="19"/>
        <v/>
      </c>
      <c r="Q212" s="7"/>
      <c r="R212" s="11">
        <f t="shared" si="20"/>
        <v>46368</v>
      </c>
      <c r="S212" s="5">
        <f t="shared" si="21"/>
        <v>2026</v>
      </c>
      <c r="T212" s="5">
        <f t="shared" si="22"/>
        <v>49</v>
      </c>
      <c r="U212" s="5" t="str">
        <f t="shared" si="23"/>
        <v>2026-27</v>
      </c>
    </row>
    <row r="213" spans="1:21" x14ac:dyDescent="0.2">
      <c r="A213" s="8">
        <v>46370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5" t="str">
        <f t="shared" si="18"/>
        <v/>
      </c>
      <c r="N213" s="6"/>
      <c r="O213" s="6"/>
      <c r="P213" s="10" t="str">
        <f t="shared" si="19"/>
        <v/>
      </c>
      <c r="Q213" s="7"/>
      <c r="R213" s="11">
        <f t="shared" si="20"/>
        <v>46375</v>
      </c>
      <c r="S213" s="5">
        <f t="shared" si="21"/>
        <v>2026</v>
      </c>
      <c r="T213" s="5">
        <f t="shared" si="22"/>
        <v>50</v>
      </c>
      <c r="U213" s="5" t="str">
        <f t="shared" si="23"/>
        <v>2026-27</v>
      </c>
    </row>
    <row r="214" spans="1:21" x14ac:dyDescent="0.2">
      <c r="A214" s="8">
        <v>46377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5" t="str">
        <f t="shared" si="18"/>
        <v/>
      </c>
      <c r="N214" s="6"/>
      <c r="O214" s="6"/>
      <c r="P214" s="10" t="str">
        <f t="shared" si="19"/>
        <v/>
      </c>
      <c r="Q214" s="7"/>
      <c r="R214" s="11">
        <f t="shared" si="20"/>
        <v>46382</v>
      </c>
      <c r="S214" s="5">
        <f t="shared" si="21"/>
        <v>2026</v>
      </c>
      <c r="T214" s="5">
        <f t="shared" si="22"/>
        <v>51</v>
      </c>
      <c r="U214" s="5" t="str">
        <f t="shared" si="23"/>
        <v>2026-27</v>
      </c>
    </row>
    <row r="215" spans="1:21" x14ac:dyDescent="0.2">
      <c r="A215" s="8">
        <v>46384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5" t="str">
        <f t="shared" si="18"/>
        <v/>
      </c>
      <c r="N215" s="6"/>
      <c r="O215" s="6"/>
      <c r="P215" s="10" t="str">
        <f t="shared" si="19"/>
        <v/>
      </c>
      <c r="Q215" s="7"/>
      <c r="R215" s="11">
        <f t="shared" si="20"/>
        <v>46389</v>
      </c>
      <c r="S215" s="5">
        <f t="shared" si="21"/>
        <v>2026</v>
      </c>
      <c r="T215" s="5">
        <f t="shared" si="22"/>
        <v>52</v>
      </c>
      <c r="U215" s="5" t="str">
        <f t="shared" si="23"/>
        <v>2026-27</v>
      </c>
    </row>
    <row r="216" spans="1:21" x14ac:dyDescent="0.2">
      <c r="A216" s="8">
        <v>46391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5" t="str">
        <f t="shared" si="18"/>
        <v/>
      </c>
      <c r="N216" s="6"/>
      <c r="O216" s="6"/>
      <c r="P216" s="10" t="str">
        <f t="shared" si="19"/>
        <v/>
      </c>
      <c r="Q216" s="7"/>
      <c r="R216" s="11">
        <f t="shared" si="20"/>
        <v>46396</v>
      </c>
      <c r="S216" s="5">
        <f t="shared" si="21"/>
        <v>2027</v>
      </c>
      <c r="T216" s="5">
        <f t="shared" si="22"/>
        <v>1</v>
      </c>
      <c r="U216" s="5" t="str">
        <f t="shared" si="23"/>
        <v>2026-27</v>
      </c>
    </row>
    <row r="217" spans="1:21" x14ac:dyDescent="0.2">
      <c r="A217" s="8">
        <v>46398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5" t="str">
        <f t="shared" si="18"/>
        <v/>
      </c>
      <c r="N217" s="6"/>
      <c r="O217" s="6"/>
      <c r="P217" s="10" t="str">
        <f t="shared" si="19"/>
        <v/>
      </c>
      <c r="Q217" s="7"/>
      <c r="R217" s="11">
        <f t="shared" si="20"/>
        <v>46403</v>
      </c>
      <c r="S217" s="5">
        <f t="shared" si="21"/>
        <v>2027</v>
      </c>
      <c r="T217" s="5">
        <f t="shared" si="22"/>
        <v>2</v>
      </c>
      <c r="U217" s="5" t="str">
        <f t="shared" si="23"/>
        <v>2026-27</v>
      </c>
    </row>
    <row r="218" spans="1:21" x14ac:dyDescent="0.2">
      <c r="A218" s="8">
        <v>46405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5" t="str">
        <f t="shared" si="18"/>
        <v/>
      </c>
      <c r="N218" s="6"/>
      <c r="O218" s="6"/>
      <c r="P218" s="10" t="str">
        <f t="shared" si="19"/>
        <v/>
      </c>
      <c r="Q218" s="7"/>
      <c r="R218" s="11">
        <f t="shared" si="20"/>
        <v>46410</v>
      </c>
      <c r="S218" s="5">
        <f t="shared" si="21"/>
        <v>2027</v>
      </c>
      <c r="T218" s="5">
        <f t="shared" si="22"/>
        <v>3</v>
      </c>
      <c r="U218" s="5" t="str">
        <f t="shared" si="23"/>
        <v>2026-27</v>
      </c>
    </row>
    <row r="219" spans="1:21" x14ac:dyDescent="0.2">
      <c r="A219" s="8">
        <v>46412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5" t="str">
        <f t="shared" si="18"/>
        <v/>
      </c>
      <c r="N219" s="6"/>
      <c r="O219" s="6"/>
      <c r="P219" s="10" t="str">
        <f t="shared" si="19"/>
        <v/>
      </c>
      <c r="Q219" s="7"/>
      <c r="R219" s="11">
        <f t="shared" si="20"/>
        <v>46417</v>
      </c>
      <c r="S219" s="5">
        <f t="shared" si="21"/>
        <v>2027</v>
      </c>
      <c r="T219" s="5">
        <f t="shared" si="22"/>
        <v>4</v>
      </c>
      <c r="U219" s="5" t="str">
        <f t="shared" si="23"/>
        <v>2026-27</v>
      </c>
    </row>
    <row r="220" spans="1:21" x14ac:dyDescent="0.2">
      <c r="A220" s="8">
        <v>46419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5" t="str">
        <f t="shared" si="18"/>
        <v/>
      </c>
      <c r="N220" s="6"/>
      <c r="O220" s="6"/>
      <c r="P220" s="10" t="str">
        <f t="shared" si="19"/>
        <v/>
      </c>
      <c r="Q220" s="7"/>
      <c r="R220" s="11">
        <f t="shared" si="20"/>
        <v>46424</v>
      </c>
      <c r="S220" s="5">
        <f t="shared" si="21"/>
        <v>2027</v>
      </c>
      <c r="T220" s="5">
        <f t="shared" si="22"/>
        <v>5</v>
      </c>
      <c r="U220" s="5" t="str">
        <f t="shared" si="23"/>
        <v>2026-27</v>
      </c>
    </row>
    <row r="221" spans="1:21" x14ac:dyDescent="0.2">
      <c r="A221" s="8">
        <v>46426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5" t="str">
        <f t="shared" si="18"/>
        <v/>
      </c>
      <c r="N221" s="6"/>
      <c r="O221" s="6"/>
      <c r="P221" s="10" t="str">
        <f t="shared" si="19"/>
        <v/>
      </c>
      <c r="Q221" s="7"/>
      <c r="R221" s="11">
        <f t="shared" si="20"/>
        <v>46431</v>
      </c>
      <c r="S221" s="5">
        <f t="shared" si="21"/>
        <v>2027</v>
      </c>
      <c r="T221" s="5">
        <f t="shared" si="22"/>
        <v>6</v>
      </c>
      <c r="U221" s="5" t="str">
        <f t="shared" si="23"/>
        <v>2026-27</v>
      </c>
    </row>
    <row r="222" spans="1:21" x14ac:dyDescent="0.2">
      <c r="A222" s="8">
        <v>46433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5" t="str">
        <f t="shared" si="18"/>
        <v/>
      </c>
      <c r="N222" s="6"/>
      <c r="O222" s="6"/>
      <c r="P222" s="10" t="str">
        <f t="shared" si="19"/>
        <v/>
      </c>
      <c r="Q222" s="7"/>
      <c r="R222" s="11">
        <f t="shared" si="20"/>
        <v>46438</v>
      </c>
      <c r="S222" s="5">
        <f t="shared" si="21"/>
        <v>2027</v>
      </c>
      <c r="T222" s="5">
        <f t="shared" si="22"/>
        <v>7</v>
      </c>
      <c r="U222" s="5" t="str">
        <f t="shared" si="23"/>
        <v>2026-27</v>
      </c>
    </row>
    <row r="223" spans="1:21" x14ac:dyDescent="0.2">
      <c r="A223" s="8">
        <v>46440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5" t="str">
        <f t="shared" si="18"/>
        <v/>
      </c>
      <c r="N223" s="6"/>
      <c r="O223" s="6"/>
      <c r="P223" s="10" t="str">
        <f t="shared" si="19"/>
        <v/>
      </c>
      <c r="Q223" s="7"/>
      <c r="R223" s="11">
        <f t="shared" si="20"/>
        <v>46445</v>
      </c>
      <c r="S223" s="5">
        <f t="shared" si="21"/>
        <v>2027</v>
      </c>
      <c r="T223" s="5">
        <f t="shared" si="22"/>
        <v>8</v>
      </c>
      <c r="U223" s="5" t="str">
        <f t="shared" si="23"/>
        <v>2026-27</v>
      </c>
    </row>
    <row r="224" spans="1:21" x14ac:dyDescent="0.2">
      <c r="A224" s="8">
        <v>46447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5" t="str">
        <f t="shared" si="18"/>
        <v/>
      </c>
      <c r="N224" s="6"/>
      <c r="O224" s="6"/>
      <c r="P224" s="10" t="str">
        <f t="shared" si="19"/>
        <v/>
      </c>
      <c r="Q224" s="7"/>
      <c r="R224" s="11">
        <f t="shared" si="20"/>
        <v>46452</v>
      </c>
      <c r="S224" s="5">
        <f t="shared" si="21"/>
        <v>2027</v>
      </c>
      <c r="T224" s="5">
        <f t="shared" si="22"/>
        <v>9</v>
      </c>
      <c r="U224" s="5" t="str">
        <f t="shared" si="23"/>
        <v>2026-27</v>
      </c>
    </row>
    <row r="225" spans="1:21" x14ac:dyDescent="0.2">
      <c r="A225" s="8">
        <v>46454</v>
      </c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5" t="str">
        <f t="shared" si="18"/>
        <v/>
      </c>
      <c r="N225" s="6"/>
      <c r="O225" s="6"/>
      <c r="P225" s="10" t="str">
        <f t="shared" si="19"/>
        <v/>
      </c>
      <c r="Q225" s="7"/>
      <c r="R225" s="11">
        <f t="shared" si="20"/>
        <v>46459</v>
      </c>
      <c r="S225" s="5">
        <f t="shared" si="21"/>
        <v>2027</v>
      </c>
      <c r="T225" s="5">
        <f t="shared" si="22"/>
        <v>10</v>
      </c>
      <c r="U225" s="5" t="str">
        <f t="shared" si="23"/>
        <v>2026-27</v>
      </c>
    </row>
    <row r="226" spans="1:21" x14ac:dyDescent="0.2">
      <c r="A226" s="8">
        <v>46461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5" t="str">
        <f t="shared" si="18"/>
        <v/>
      </c>
      <c r="N226" s="6"/>
      <c r="O226" s="6"/>
      <c r="P226" s="10" t="str">
        <f t="shared" si="19"/>
        <v/>
      </c>
      <c r="Q226" s="7"/>
      <c r="R226" s="11">
        <f t="shared" si="20"/>
        <v>46466</v>
      </c>
      <c r="S226" s="5">
        <f t="shared" si="21"/>
        <v>2027</v>
      </c>
      <c r="T226" s="5">
        <f t="shared" si="22"/>
        <v>11</v>
      </c>
      <c r="U226" s="5" t="str">
        <f t="shared" si="23"/>
        <v>2026-27</v>
      </c>
    </row>
    <row r="227" spans="1:21" x14ac:dyDescent="0.2">
      <c r="A227" s="8">
        <v>46468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5" t="str">
        <f t="shared" si="18"/>
        <v/>
      </c>
      <c r="N227" s="6"/>
      <c r="O227" s="6"/>
      <c r="P227" s="10" t="str">
        <f t="shared" si="19"/>
        <v/>
      </c>
      <c r="Q227" s="7"/>
      <c r="R227" s="11">
        <f t="shared" si="20"/>
        <v>46473</v>
      </c>
      <c r="S227" s="5">
        <f t="shared" si="21"/>
        <v>2027</v>
      </c>
      <c r="T227" s="5">
        <f t="shared" si="22"/>
        <v>12</v>
      </c>
      <c r="U227" s="5" t="str">
        <f t="shared" si="23"/>
        <v>2026-27</v>
      </c>
    </row>
    <row r="228" spans="1:21" x14ac:dyDescent="0.2">
      <c r="A228" s="8">
        <v>46475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5" t="str">
        <f t="shared" si="18"/>
        <v/>
      </c>
      <c r="N228" s="6"/>
      <c r="O228" s="6"/>
      <c r="P228" s="10" t="str">
        <f t="shared" si="19"/>
        <v/>
      </c>
      <c r="Q228" s="7"/>
      <c r="R228" s="11">
        <f t="shared" si="20"/>
        <v>46480</v>
      </c>
      <c r="S228" s="5">
        <f t="shared" si="21"/>
        <v>2027</v>
      </c>
      <c r="T228" s="5">
        <f t="shared" si="22"/>
        <v>13</v>
      </c>
      <c r="U228" s="5" t="str">
        <f t="shared" si="23"/>
        <v>2026-27</v>
      </c>
    </row>
    <row r="229" spans="1:21" x14ac:dyDescent="0.2">
      <c r="A229" s="8">
        <v>46482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5" t="str">
        <f t="shared" si="18"/>
        <v/>
      </c>
      <c r="N229" s="6"/>
      <c r="O229" s="6"/>
      <c r="P229" s="10" t="str">
        <f t="shared" si="19"/>
        <v/>
      </c>
      <c r="Q229" s="7"/>
      <c r="R229" s="11">
        <f t="shared" si="20"/>
        <v>46487</v>
      </c>
      <c r="S229" s="5">
        <f t="shared" si="21"/>
        <v>2027</v>
      </c>
      <c r="T229" s="5">
        <f t="shared" si="22"/>
        <v>14</v>
      </c>
      <c r="U229" s="5" t="str">
        <f t="shared" si="23"/>
        <v>2026-27</v>
      </c>
    </row>
    <row r="230" spans="1:21" x14ac:dyDescent="0.2">
      <c r="A230" s="8">
        <v>46489</v>
      </c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5" t="str">
        <f t="shared" si="18"/>
        <v/>
      </c>
      <c r="N230" s="6"/>
      <c r="O230" s="6"/>
      <c r="P230" s="10" t="str">
        <f t="shared" si="19"/>
        <v/>
      </c>
      <c r="Q230" s="7"/>
      <c r="R230" s="11">
        <f t="shared" si="20"/>
        <v>46494</v>
      </c>
      <c r="S230" s="5">
        <f t="shared" si="21"/>
        <v>2027</v>
      </c>
      <c r="T230" s="5">
        <f t="shared" si="22"/>
        <v>15</v>
      </c>
      <c r="U230" s="5" t="str">
        <f t="shared" si="23"/>
        <v>2026-27</v>
      </c>
    </row>
    <row r="231" spans="1:21" x14ac:dyDescent="0.2">
      <c r="A231" s="8">
        <v>46496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5" t="str">
        <f t="shared" si="18"/>
        <v/>
      </c>
      <c r="N231" s="6"/>
      <c r="O231" s="6"/>
      <c r="P231" s="10" t="str">
        <f t="shared" si="19"/>
        <v/>
      </c>
      <c r="Q231" s="7"/>
      <c r="R231" s="11">
        <f t="shared" si="20"/>
        <v>46501</v>
      </c>
      <c r="S231" s="5">
        <f t="shared" si="21"/>
        <v>2027</v>
      </c>
      <c r="T231" s="5">
        <f t="shared" si="22"/>
        <v>16</v>
      </c>
      <c r="U231" s="5" t="str">
        <f t="shared" si="23"/>
        <v>2026-27</v>
      </c>
    </row>
    <row r="232" spans="1:21" x14ac:dyDescent="0.2">
      <c r="A232" s="8">
        <v>46503</v>
      </c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5" t="str">
        <f t="shared" si="18"/>
        <v/>
      </c>
      <c r="N232" s="6"/>
      <c r="O232" s="6"/>
      <c r="P232" s="10" t="str">
        <f t="shared" si="19"/>
        <v/>
      </c>
      <c r="Q232" s="7"/>
      <c r="R232" s="11">
        <f t="shared" si="20"/>
        <v>46508</v>
      </c>
      <c r="S232" s="5">
        <f t="shared" si="21"/>
        <v>2027</v>
      </c>
      <c r="T232" s="5">
        <f t="shared" si="22"/>
        <v>17</v>
      </c>
      <c r="U232" s="5" t="str">
        <f t="shared" si="23"/>
        <v>2026-27</v>
      </c>
    </row>
    <row r="233" spans="1:21" x14ac:dyDescent="0.2">
      <c r="A233" s="8">
        <v>46510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5" t="str">
        <f t="shared" si="18"/>
        <v/>
      </c>
      <c r="N233" s="6"/>
      <c r="O233" s="6"/>
      <c r="P233" s="10" t="str">
        <f t="shared" si="19"/>
        <v/>
      </c>
      <c r="Q233" s="7"/>
      <c r="R233" s="11">
        <f t="shared" si="20"/>
        <v>46515</v>
      </c>
      <c r="S233" s="5">
        <f t="shared" si="21"/>
        <v>2027</v>
      </c>
      <c r="T233" s="5">
        <f t="shared" si="22"/>
        <v>18</v>
      </c>
      <c r="U233" s="5" t="str">
        <f t="shared" si="23"/>
        <v>2026-27</v>
      </c>
    </row>
    <row r="234" spans="1:21" x14ac:dyDescent="0.2">
      <c r="A234" s="8">
        <v>46517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5" t="str">
        <f t="shared" si="18"/>
        <v/>
      </c>
      <c r="N234" s="6"/>
      <c r="O234" s="6"/>
      <c r="P234" s="10" t="str">
        <f t="shared" si="19"/>
        <v/>
      </c>
      <c r="Q234" s="7"/>
      <c r="R234" s="11">
        <f t="shared" si="20"/>
        <v>46522</v>
      </c>
      <c r="S234" s="5">
        <f t="shared" si="21"/>
        <v>2027</v>
      </c>
      <c r="T234" s="5">
        <f t="shared" si="22"/>
        <v>19</v>
      </c>
      <c r="U234" s="5" t="str">
        <f t="shared" si="23"/>
        <v>2026-27</v>
      </c>
    </row>
    <row r="235" spans="1:21" x14ac:dyDescent="0.2">
      <c r="A235" s="8">
        <v>46524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5" t="str">
        <f t="shared" si="18"/>
        <v/>
      </c>
      <c r="N235" s="6"/>
      <c r="O235" s="6"/>
      <c r="P235" s="10" t="str">
        <f t="shared" si="19"/>
        <v/>
      </c>
      <c r="Q235" s="7"/>
      <c r="R235" s="11">
        <f t="shared" si="20"/>
        <v>46529</v>
      </c>
      <c r="S235" s="5">
        <f t="shared" si="21"/>
        <v>2027</v>
      </c>
      <c r="T235" s="5">
        <f t="shared" si="22"/>
        <v>20</v>
      </c>
      <c r="U235" s="5" t="str">
        <f t="shared" si="23"/>
        <v>2026-27</v>
      </c>
    </row>
    <row r="236" spans="1:21" x14ac:dyDescent="0.2">
      <c r="A236" s="8">
        <v>46531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5" t="str">
        <f t="shared" si="18"/>
        <v/>
      </c>
      <c r="N236" s="6"/>
      <c r="O236" s="6"/>
      <c r="P236" s="10" t="str">
        <f t="shared" si="19"/>
        <v/>
      </c>
      <c r="Q236" s="7"/>
      <c r="R236" s="11">
        <f t="shared" si="20"/>
        <v>46536</v>
      </c>
      <c r="S236" s="5">
        <f t="shared" si="21"/>
        <v>2027</v>
      </c>
      <c r="T236" s="5">
        <f t="shared" si="22"/>
        <v>21</v>
      </c>
      <c r="U236" s="5" t="str">
        <f t="shared" si="23"/>
        <v>2026-27</v>
      </c>
    </row>
    <row r="237" spans="1:21" x14ac:dyDescent="0.2">
      <c r="A237" s="8">
        <v>46538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5" t="str">
        <f t="shared" si="18"/>
        <v/>
      </c>
      <c r="N237" s="6"/>
      <c r="O237" s="6"/>
      <c r="P237" s="10" t="str">
        <f t="shared" si="19"/>
        <v/>
      </c>
      <c r="Q237" s="7"/>
      <c r="R237" s="11">
        <f t="shared" si="20"/>
        <v>46543</v>
      </c>
      <c r="S237" s="5">
        <f t="shared" si="21"/>
        <v>2027</v>
      </c>
      <c r="T237" s="5">
        <f t="shared" si="22"/>
        <v>22</v>
      </c>
      <c r="U237" s="5" t="str">
        <f t="shared" si="23"/>
        <v>2026-27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1"/>
  <sheetViews>
    <sheetView zoomScaleNormal="100" workbookViewId="0">
      <pane ySplit="1" topLeftCell="A53" activePane="bottomLeft" state="frozen"/>
      <selection pane="bottomLeft" activeCell="K76" sqref="K76"/>
    </sheetView>
  </sheetViews>
  <sheetFormatPr baseColWidth="10" defaultColWidth="8.6640625" defaultRowHeight="15" x14ac:dyDescent="0.2"/>
  <cols>
    <col min="1" max="1" width="12" customWidth="1"/>
    <col min="2" max="10" width="10" customWidth="1"/>
    <col min="11" max="11" width="30" customWidth="1"/>
  </cols>
  <sheetData>
    <row r="1" spans="1:11" ht="31.5" customHeight="1" x14ac:dyDescent="0.2">
      <c r="A1" s="4" t="s">
        <v>39</v>
      </c>
      <c r="B1" s="4" t="s">
        <v>62</v>
      </c>
      <c r="C1" s="4" t="s">
        <v>63</v>
      </c>
      <c r="D1" s="4" t="s">
        <v>64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21</v>
      </c>
    </row>
    <row r="2" spans="1:11" x14ac:dyDescent="0.2">
      <c r="A2" s="8">
        <v>45285</v>
      </c>
      <c r="B2" s="6">
        <v>10</v>
      </c>
      <c r="C2" s="6">
        <v>23</v>
      </c>
      <c r="D2" s="10">
        <f t="shared" ref="D2:D33" si="0">IF(SUM(B2:C2)=0,"",B2/SUM(B2:C2))</f>
        <v>0.30303030303030304</v>
      </c>
      <c r="E2" s="6">
        <v>13</v>
      </c>
      <c r="F2" s="6">
        <v>99</v>
      </c>
      <c r="G2" s="10">
        <f t="shared" ref="G2:G33" si="1">IF(SUM(E2:F2)=0,"",E2/SUM(E2:F2))</f>
        <v>0.11607142857142858</v>
      </c>
      <c r="H2" s="6">
        <v>5</v>
      </c>
      <c r="I2" s="6">
        <v>42</v>
      </c>
      <c r="J2" s="10">
        <f t="shared" ref="J2:J33" si="2">IF(SUM(H2:I2)=0,"",H2/SUM(H2:I2))</f>
        <v>0.10638297872340426</v>
      </c>
      <c r="K2" s="7"/>
    </row>
    <row r="3" spans="1:11" x14ac:dyDescent="0.2">
      <c r="A3" s="8">
        <v>45292</v>
      </c>
      <c r="B3" s="6">
        <v>13</v>
      </c>
      <c r="C3" s="6">
        <v>17</v>
      </c>
      <c r="D3" s="10">
        <f t="shared" si="0"/>
        <v>0.43333333333333335</v>
      </c>
      <c r="E3" s="6">
        <v>24</v>
      </c>
      <c r="F3" s="6">
        <v>132</v>
      </c>
      <c r="G3" s="10">
        <f t="shared" si="1"/>
        <v>0.15384615384615385</v>
      </c>
      <c r="H3" s="6">
        <v>4</v>
      </c>
      <c r="I3" s="6">
        <v>57</v>
      </c>
      <c r="J3" s="10">
        <f t="shared" si="2"/>
        <v>6.5573770491803282E-2</v>
      </c>
      <c r="K3" s="7"/>
    </row>
    <row r="4" spans="1:11" x14ac:dyDescent="0.2">
      <c r="A4" s="8">
        <v>45299</v>
      </c>
      <c r="B4" s="6">
        <v>8</v>
      </c>
      <c r="C4" s="6">
        <v>17</v>
      </c>
      <c r="D4" s="10">
        <f t="shared" si="0"/>
        <v>0.32</v>
      </c>
      <c r="E4" s="6">
        <v>7</v>
      </c>
      <c r="F4" s="6">
        <v>127</v>
      </c>
      <c r="G4" s="10">
        <f t="shared" si="1"/>
        <v>5.2238805970149252E-2</v>
      </c>
      <c r="H4" s="6">
        <v>10</v>
      </c>
      <c r="I4" s="6">
        <v>47</v>
      </c>
      <c r="J4" s="10">
        <f t="shared" si="2"/>
        <v>0.17543859649122806</v>
      </c>
      <c r="K4" s="7"/>
    </row>
    <row r="5" spans="1:11" x14ac:dyDescent="0.2">
      <c r="A5" s="8">
        <v>45306</v>
      </c>
      <c r="B5" s="6">
        <v>5</v>
      </c>
      <c r="C5" s="6">
        <v>17</v>
      </c>
      <c r="D5" s="10">
        <f t="shared" si="0"/>
        <v>0.22727272727272727</v>
      </c>
      <c r="E5" s="6">
        <v>14</v>
      </c>
      <c r="F5" s="6">
        <v>112</v>
      </c>
      <c r="G5" s="10">
        <f t="shared" si="1"/>
        <v>0.1111111111111111</v>
      </c>
      <c r="H5" s="6">
        <v>10</v>
      </c>
      <c r="I5" s="6">
        <v>42</v>
      </c>
      <c r="J5" s="10">
        <f t="shared" si="2"/>
        <v>0.19230769230769232</v>
      </c>
      <c r="K5" s="7"/>
    </row>
    <row r="6" spans="1:11" x14ac:dyDescent="0.2">
      <c r="A6" s="8">
        <v>45313</v>
      </c>
      <c r="B6" s="6">
        <v>5</v>
      </c>
      <c r="C6" s="6">
        <v>18</v>
      </c>
      <c r="D6" s="10">
        <f t="shared" si="0"/>
        <v>0.21739130434782608</v>
      </c>
      <c r="E6" s="6">
        <v>6</v>
      </c>
      <c r="F6" s="6">
        <v>108</v>
      </c>
      <c r="G6" s="10">
        <f t="shared" si="1"/>
        <v>5.2631578947368418E-2</v>
      </c>
      <c r="H6" s="6">
        <v>5</v>
      </c>
      <c r="I6" s="6">
        <v>38</v>
      </c>
      <c r="J6" s="10">
        <f t="shared" si="2"/>
        <v>0.11627906976744186</v>
      </c>
      <c r="K6" s="7"/>
    </row>
    <row r="7" spans="1:11" x14ac:dyDescent="0.2">
      <c r="A7" s="8">
        <v>45320</v>
      </c>
      <c r="B7" s="6">
        <v>5</v>
      </c>
      <c r="C7" s="6">
        <v>9</v>
      </c>
      <c r="D7" s="10">
        <f t="shared" si="0"/>
        <v>0.35714285714285715</v>
      </c>
      <c r="E7" s="6">
        <v>12</v>
      </c>
      <c r="F7" s="6">
        <v>100</v>
      </c>
      <c r="G7" s="10">
        <f t="shared" si="1"/>
        <v>0.10714285714285714</v>
      </c>
      <c r="H7" s="6">
        <v>4</v>
      </c>
      <c r="I7" s="6">
        <v>46</v>
      </c>
      <c r="J7" s="10">
        <f t="shared" si="2"/>
        <v>0.08</v>
      </c>
      <c r="K7" s="7"/>
    </row>
    <row r="8" spans="1:11" x14ac:dyDescent="0.2">
      <c r="A8" s="8">
        <v>45327</v>
      </c>
      <c r="B8" s="6">
        <v>2</v>
      </c>
      <c r="C8" s="6">
        <v>13</v>
      </c>
      <c r="D8" s="10">
        <f t="shared" si="0"/>
        <v>0.13333333333333333</v>
      </c>
      <c r="E8" s="6">
        <v>8</v>
      </c>
      <c r="F8" s="6">
        <v>100</v>
      </c>
      <c r="G8" s="10">
        <f t="shared" si="1"/>
        <v>7.407407407407407E-2</v>
      </c>
      <c r="H8" s="6">
        <v>5</v>
      </c>
      <c r="I8" s="6">
        <v>40</v>
      </c>
      <c r="J8" s="10">
        <f t="shared" si="2"/>
        <v>0.1111111111111111</v>
      </c>
      <c r="K8" s="7"/>
    </row>
    <row r="9" spans="1:11" x14ac:dyDescent="0.2">
      <c r="A9" s="8">
        <v>45334</v>
      </c>
      <c r="B9" s="6">
        <v>7</v>
      </c>
      <c r="C9" s="6">
        <v>10</v>
      </c>
      <c r="D9" s="10">
        <f t="shared" si="0"/>
        <v>0.41176470588235292</v>
      </c>
      <c r="E9" s="6">
        <v>6</v>
      </c>
      <c r="F9" s="6">
        <v>72</v>
      </c>
      <c r="G9" s="10">
        <f t="shared" si="1"/>
        <v>7.6923076923076927E-2</v>
      </c>
      <c r="H9" s="6">
        <v>1</v>
      </c>
      <c r="I9" s="6">
        <v>26</v>
      </c>
      <c r="J9" s="10">
        <f t="shared" si="2"/>
        <v>3.7037037037037035E-2</v>
      </c>
      <c r="K9" s="7"/>
    </row>
    <row r="10" spans="1:11" x14ac:dyDescent="0.2">
      <c r="A10" s="8">
        <v>45341</v>
      </c>
      <c r="B10" s="6">
        <v>3</v>
      </c>
      <c r="C10" s="6">
        <v>8</v>
      </c>
      <c r="D10" s="10">
        <f t="shared" si="0"/>
        <v>0.27272727272727271</v>
      </c>
      <c r="E10" s="6">
        <v>9</v>
      </c>
      <c r="F10" s="6">
        <v>77</v>
      </c>
      <c r="G10" s="10">
        <f t="shared" si="1"/>
        <v>0.10465116279069768</v>
      </c>
      <c r="H10" s="6">
        <v>1</v>
      </c>
      <c r="I10" s="6">
        <v>30</v>
      </c>
      <c r="J10" s="10">
        <f t="shared" si="2"/>
        <v>3.2258064516129031E-2</v>
      </c>
      <c r="K10" s="7"/>
    </row>
    <row r="11" spans="1:11" x14ac:dyDescent="0.2">
      <c r="A11" s="8">
        <v>45348</v>
      </c>
      <c r="B11" s="6">
        <v>2</v>
      </c>
      <c r="C11" s="6">
        <v>14</v>
      </c>
      <c r="D11" s="10">
        <f t="shared" si="0"/>
        <v>0.125</v>
      </c>
      <c r="E11" s="6">
        <v>5</v>
      </c>
      <c r="F11" s="6">
        <v>71</v>
      </c>
      <c r="G11" s="10">
        <f t="shared" si="1"/>
        <v>6.5789473684210523E-2</v>
      </c>
      <c r="H11" s="6">
        <v>2</v>
      </c>
      <c r="I11" s="6">
        <v>31</v>
      </c>
      <c r="J11" s="10">
        <f t="shared" si="2"/>
        <v>6.0606060606060608E-2</v>
      </c>
      <c r="K11" s="7"/>
    </row>
    <row r="12" spans="1:11" x14ac:dyDescent="0.2">
      <c r="A12" s="8">
        <v>45355</v>
      </c>
      <c r="B12" s="6">
        <v>0</v>
      </c>
      <c r="C12" s="6">
        <v>11</v>
      </c>
      <c r="D12" s="10">
        <f t="shared" si="0"/>
        <v>0</v>
      </c>
      <c r="E12" s="6">
        <v>1</v>
      </c>
      <c r="F12" s="6">
        <v>47</v>
      </c>
      <c r="G12" s="10">
        <f t="shared" si="1"/>
        <v>2.0833333333333332E-2</v>
      </c>
      <c r="H12" s="6">
        <v>0</v>
      </c>
      <c r="I12" s="6">
        <v>20</v>
      </c>
      <c r="J12" s="10">
        <f t="shared" si="2"/>
        <v>0</v>
      </c>
      <c r="K12" s="7"/>
    </row>
    <row r="13" spans="1:11" x14ac:dyDescent="0.2">
      <c r="A13" s="8">
        <v>45537</v>
      </c>
      <c r="B13" s="6">
        <v>7</v>
      </c>
      <c r="C13" s="6">
        <v>14</v>
      </c>
      <c r="D13" s="10">
        <f t="shared" si="0"/>
        <v>0.33333333333333331</v>
      </c>
      <c r="E13" s="6">
        <v>0</v>
      </c>
      <c r="F13" s="6">
        <v>21</v>
      </c>
      <c r="G13" s="10">
        <f t="shared" si="1"/>
        <v>0</v>
      </c>
      <c r="H13" s="6">
        <v>0</v>
      </c>
      <c r="I13" s="6">
        <v>21</v>
      </c>
      <c r="J13" s="10">
        <f t="shared" si="2"/>
        <v>0</v>
      </c>
      <c r="K13" s="7"/>
    </row>
    <row r="14" spans="1:11" x14ac:dyDescent="0.2">
      <c r="A14" s="8">
        <v>45544</v>
      </c>
      <c r="B14" s="6">
        <v>4</v>
      </c>
      <c r="C14" s="6">
        <v>5</v>
      </c>
      <c r="D14" s="10">
        <f t="shared" si="0"/>
        <v>0.44444444444444442</v>
      </c>
      <c r="E14" s="6">
        <v>1</v>
      </c>
      <c r="F14" s="6">
        <v>8</v>
      </c>
      <c r="G14" s="10">
        <f t="shared" si="1"/>
        <v>0.1111111111111111</v>
      </c>
      <c r="H14" s="6">
        <v>0</v>
      </c>
      <c r="I14" s="6">
        <v>8</v>
      </c>
      <c r="J14" s="10">
        <f t="shared" si="2"/>
        <v>0</v>
      </c>
      <c r="K14" s="7"/>
    </row>
    <row r="15" spans="1:11" x14ac:dyDescent="0.2">
      <c r="A15" s="8">
        <v>45551</v>
      </c>
      <c r="B15" s="6">
        <v>6</v>
      </c>
      <c r="C15" s="6">
        <v>19</v>
      </c>
      <c r="D15" s="10">
        <f t="shared" si="0"/>
        <v>0.24</v>
      </c>
      <c r="E15" s="6">
        <v>2</v>
      </c>
      <c r="F15" s="6">
        <v>21</v>
      </c>
      <c r="G15" s="10">
        <f t="shared" si="1"/>
        <v>8.6956521739130432E-2</v>
      </c>
      <c r="H15" s="6">
        <v>0</v>
      </c>
      <c r="I15" s="6">
        <v>22</v>
      </c>
      <c r="J15" s="10">
        <f t="shared" si="2"/>
        <v>0</v>
      </c>
      <c r="K15" s="7"/>
    </row>
    <row r="16" spans="1:11" x14ac:dyDescent="0.2">
      <c r="A16" s="8">
        <v>45558</v>
      </c>
      <c r="B16" s="6">
        <v>8</v>
      </c>
      <c r="C16" s="6">
        <v>3</v>
      </c>
      <c r="D16" s="10">
        <f t="shared" si="0"/>
        <v>0.72727272727272729</v>
      </c>
      <c r="E16" s="6">
        <v>0</v>
      </c>
      <c r="F16" s="6">
        <v>13</v>
      </c>
      <c r="G16" s="10">
        <f t="shared" si="1"/>
        <v>0</v>
      </c>
      <c r="H16" s="6">
        <v>0</v>
      </c>
      <c r="I16" s="6">
        <v>11</v>
      </c>
      <c r="J16" s="10">
        <f t="shared" si="2"/>
        <v>0</v>
      </c>
      <c r="K16" s="7"/>
    </row>
    <row r="17" spans="1:11" x14ac:dyDescent="0.2">
      <c r="A17" s="8">
        <v>45565</v>
      </c>
      <c r="B17" s="6">
        <v>2</v>
      </c>
      <c r="C17" s="6">
        <v>6</v>
      </c>
      <c r="D17" s="10">
        <f t="shared" si="0"/>
        <v>0.25</v>
      </c>
      <c r="E17" s="6">
        <v>0</v>
      </c>
      <c r="F17" s="6">
        <v>10</v>
      </c>
      <c r="G17" s="10">
        <f t="shared" si="1"/>
        <v>0</v>
      </c>
      <c r="H17" s="6">
        <v>0</v>
      </c>
      <c r="I17" s="6">
        <v>10</v>
      </c>
      <c r="J17" s="10">
        <f t="shared" si="2"/>
        <v>0</v>
      </c>
      <c r="K17" s="7"/>
    </row>
    <row r="18" spans="1:11" x14ac:dyDescent="0.2">
      <c r="A18" s="8">
        <v>45572</v>
      </c>
      <c r="B18" s="6">
        <v>1</v>
      </c>
      <c r="C18" s="6">
        <v>4</v>
      </c>
      <c r="D18" s="10">
        <f t="shared" si="0"/>
        <v>0.2</v>
      </c>
      <c r="E18" s="6">
        <v>0</v>
      </c>
      <c r="F18" s="6">
        <v>5</v>
      </c>
      <c r="G18" s="10">
        <f t="shared" si="1"/>
        <v>0</v>
      </c>
      <c r="H18" s="6">
        <v>0</v>
      </c>
      <c r="I18" s="6">
        <v>6</v>
      </c>
      <c r="J18" s="10">
        <f t="shared" si="2"/>
        <v>0</v>
      </c>
      <c r="K18" s="7"/>
    </row>
    <row r="19" spans="1:11" x14ac:dyDescent="0.2">
      <c r="A19" s="8">
        <v>45579</v>
      </c>
      <c r="B19" s="6">
        <v>2</v>
      </c>
      <c r="C19" s="6">
        <v>1</v>
      </c>
      <c r="D19" s="10">
        <f t="shared" si="0"/>
        <v>0.66666666666666663</v>
      </c>
      <c r="E19" s="6">
        <v>0</v>
      </c>
      <c r="F19" s="6">
        <v>5</v>
      </c>
      <c r="G19" s="10">
        <f t="shared" si="1"/>
        <v>0</v>
      </c>
      <c r="H19" s="6">
        <v>0</v>
      </c>
      <c r="I19" s="6">
        <v>5</v>
      </c>
      <c r="J19" s="10">
        <f t="shared" si="2"/>
        <v>0</v>
      </c>
      <c r="K19" s="7"/>
    </row>
    <row r="20" spans="1:11" x14ac:dyDescent="0.2">
      <c r="A20" s="8">
        <v>45586</v>
      </c>
      <c r="B20" s="6">
        <v>4</v>
      </c>
      <c r="C20" s="6">
        <v>6</v>
      </c>
      <c r="D20" s="10">
        <f t="shared" si="0"/>
        <v>0.4</v>
      </c>
      <c r="E20" s="6">
        <v>2</v>
      </c>
      <c r="F20" s="6">
        <v>11</v>
      </c>
      <c r="G20" s="10">
        <f t="shared" si="1"/>
        <v>0.15384615384615385</v>
      </c>
      <c r="H20" s="6">
        <v>2</v>
      </c>
      <c r="I20" s="6">
        <v>10</v>
      </c>
      <c r="J20" s="10">
        <f t="shared" si="2"/>
        <v>0.16666666666666666</v>
      </c>
      <c r="K20" s="7"/>
    </row>
    <row r="21" spans="1:11" x14ac:dyDescent="0.2">
      <c r="A21" s="8">
        <v>45593</v>
      </c>
      <c r="B21" s="6">
        <v>2</v>
      </c>
      <c r="C21" s="6">
        <v>3</v>
      </c>
      <c r="D21" s="10">
        <f t="shared" si="0"/>
        <v>0.4</v>
      </c>
      <c r="E21" s="6">
        <v>0</v>
      </c>
      <c r="F21" s="6">
        <v>8</v>
      </c>
      <c r="G21" s="10">
        <f t="shared" si="1"/>
        <v>0</v>
      </c>
      <c r="H21" s="6">
        <v>0</v>
      </c>
      <c r="I21" s="6">
        <v>8</v>
      </c>
      <c r="J21" s="10">
        <f t="shared" si="2"/>
        <v>0</v>
      </c>
      <c r="K21" s="7"/>
    </row>
    <row r="22" spans="1:11" x14ac:dyDescent="0.2">
      <c r="A22" s="8">
        <v>45600</v>
      </c>
      <c r="B22" s="6">
        <v>2</v>
      </c>
      <c r="C22" s="6">
        <v>4</v>
      </c>
      <c r="D22" s="10">
        <f t="shared" si="0"/>
        <v>0.33333333333333331</v>
      </c>
      <c r="E22" s="6">
        <v>0</v>
      </c>
      <c r="F22" s="6">
        <v>14</v>
      </c>
      <c r="G22" s="10">
        <f t="shared" si="1"/>
        <v>0</v>
      </c>
      <c r="H22" s="6">
        <v>0</v>
      </c>
      <c r="I22" s="6">
        <v>14</v>
      </c>
      <c r="J22" s="10">
        <f t="shared" si="2"/>
        <v>0</v>
      </c>
      <c r="K22" s="7"/>
    </row>
    <row r="23" spans="1:11" x14ac:dyDescent="0.2">
      <c r="A23" s="8">
        <v>45607</v>
      </c>
      <c r="B23" s="6">
        <v>1</v>
      </c>
      <c r="C23" s="6">
        <v>3</v>
      </c>
      <c r="D23" s="10">
        <f t="shared" si="0"/>
        <v>0.25</v>
      </c>
      <c r="E23" s="6">
        <v>0</v>
      </c>
      <c r="F23" s="6">
        <v>9</v>
      </c>
      <c r="G23" s="10">
        <f t="shared" si="1"/>
        <v>0</v>
      </c>
      <c r="H23" s="6">
        <v>0</v>
      </c>
      <c r="I23" s="6">
        <v>9</v>
      </c>
      <c r="J23" s="10">
        <f t="shared" si="2"/>
        <v>0</v>
      </c>
      <c r="K23" s="7"/>
    </row>
    <row r="24" spans="1:11" x14ac:dyDescent="0.2">
      <c r="A24" s="8">
        <v>45614</v>
      </c>
      <c r="B24" s="6">
        <v>0</v>
      </c>
      <c r="C24" s="6">
        <v>1</v>
      </c>
      <c r="D24" s="10">
        <f t="shared" si="0"/>
        <v>0</v>
      </c>
      <c r="E24" s="6">
        <v>1</v>
      </c>
      <c r="F24" s="6">
        <v>11</v>
      </c>
      <c r="G24" s="10">
        <f t="shared" si="1"/>
        <v>8.3333333333333329E-2</v>
      </c>
      <c r="H24" s="6">
        <v>0</v>
      </c>
      <c r="I24" s="6">
        <v>11</v>
      </c>
      <c r="J24" s="10">
        <f t="shared" si="2"/>
        <v>0</v>
      </c>
      <c r="K24" s="7"/>
    </row>
    <row r="25" spans="1:11" x14ac:dyDescent="0.2">
      <c r="A25" s="8">
        <v>45621</v>
      </c>
      <c r="B25" s="6">
        <v>1</v>
      </c>
      <c r="C25" s="6">
        <v>6</v>
      </c>
      <c r="D25" s="10">
        <f t="shared" si="0"/>
        <v>0.14285714285714285</v>
      </c>
      <c r="E25" s="6">
        <v>0</v>
      </c>
      <c r="F25" s="6">
        <v>13</v>
      </c>
      <c r="G25" s="10">
        <f t="shared" si="1"/>
        <v>0</v>
      </c>
      <c r="H25" s="6">
        <v>0</v>
      </c>
      <c r="I25" s="6">
        <v>12</v>
      </c>
      <c r="J25" s="10">
        <f t="shared" si="2"/>
        <v>0</v>
      </c>
      <c r="K25" s="7"/>
    </row>
    <row r="26" spans="1:11" x14ac:dyDescent="0.2">
      <c r="A26" s="8">
        <v>45628</v>
      </c>
      <c r="B26" s="6">
        <v>3</v>
      </c>
      <c r="C26" s="6">
        <v>5</v>
      </c>
      <c r="D26" s="10">
        <f t="shared" si="0"/>
        <v>0.375</v>
      </c>
      <c r="E26" s="6">
        <v>4</v>
      </c>
      <c r="F26" s="6">
        <v>22</v>
      </c>
      <c r="G26" s="10">
        <f t="shared" si="1"/>
        <v>0.15384615384615385</v>
      </c>
      <c r="H26" s="6">
        <v>0</v>
      </c>
      <c r="I26" s="6">
        <v>22</v>
      </c>
      <c r="J26" s="10">
        <f t="shared" si="2"/>
        <v>0</v>
      </c>
      <c r="K26" s="7"/>
    </row>
    <row r="27" spans="1:11" x14ac:dyDescent="0.2">
      <c r="A27" s="8">
        <v>45635</v>
      </c>
      <c r="B27" s="6">
        <v>1</v>
      </c>
      <c r="C27" s="6">
        <v>7</v>
      </c>
      <c r="D27" s="10">
        <f t="shared" si="0"/>
        <v>0.125</v>
      </c>
      <c r="E27" s="6">
        <v>5</v>
      </c>
      <c r="F27" s="6">
        <v>17</v>
      </c>
      <c r="G27" s="10">
        <f t="shared" si="1"/>
        <v>0.22727272727272727</v>
      </c>
      <c r="H27" s="6">
        <v>0</v>
      </c>
      <c r="I27" s="6">
        <v>17</v>
      </c>
      <c r="J27" s="10">
        <f t="shared" si="2"/>
        <v>0</v>
      </c>
      <c r="K27" s="7"/>
    </row>
    <row r="28" spans="1:11" x14ac:dyDescent="0.2">
      <c r="A28" s="8">
        <v>45642</v>
      </c>
      <c r="B28" s="6">
        <v>5</v>
      </c>
      <c r="C28" s="6">
        <v>15</v>
      </c>
      <c r="D28" s="10">
        <f t="shared" si="0"/>
        <v>0.25</v>
      </c>
      <c r="E28" s="6">
        <v>11</v>
      </c>
      <c r="F28" s="6">
        <v>31</v>
      </c>
      <c r="G28" s="10">
        <f t="shared" si="1"/>
        <v>0.26190476190476192</v>
      </c>
      <c r="H28" s="6">
        <v>0</v>
      </c>
      <c r="I28" s="6">
        <v>31</v>
      </c>
      <c r="J28" s="10">
        <f t="shared" si="2"/>
        <v>0</v>
      </c>
      <c r="K28" s="7"/>
    </row>
    <row r="29" spans="1:11" x14ac:dyDescent="0.2">
      <c r="A29" s="8">
        <v>45649</v>
      </c>
      <c r="B29" s="6">
        <v>2</v>
      </c>
      <c r="C29" s="6">
        <v>22</v>
      </c>
      <c r="D29" s="10">
        <f t="shared" si="0"/>
        <v>8.3333333333333329E-2</v>
      </c>
      <c r="E29" s="6">
        <v>19</v>
      </c>
      <c r="F29" s="6">
        <v>42</v>
      </c>
      <c r="G29" s="10">
        <f t="shared" si="1"/>
        <v>0.31147540983606559</v>
      </c>
      <c r="H29" s="6">
        <v>4</v>
      </c>
      <c r="I29" s="6">
        <v>36</v>
      </c>
      <c r="J29" s="10">
        <f t="shared" si="2"/>
        <v>0.1</v>
      </c>
      <c r="K29" s="7"/>
    </row>
    <row r="30" spans="1:11" x14ac:dyDescent="0.2">
      <c r="A30" s="8">
        <v>45656</v>
      </c>
      <c r="B30" s="6">
        <v>4</v>
      </c>
      <c r="C30" s="6">
        <v>32</v>
      </c>
      <c r="D30" s="10">
        <f t="shared" si="0"/>
        <v>0.1111111111111111</v>
      </c>
      <c r="E30" s="6">
        <v>33</v>
      </c>
      <c r="F30" s="6">
        <v>61</v>
      </c>
      <c r="G30" s="10">
        <f t="shared" si="1"/>
        <v>0.35106382978723405</v>
      </c>
      <c r="H30" s="6">
        <v>4</v>
      </c>
      <c r="I30" s="6">
        <v>57</v>
      </c>
      <c r="J30" s="10">
        <f t="shared" si="2"/>
        <v>6.5573770491803282E-2</v>
      </c>
      <c r="K30" s="7"/>
    </row>
    <row r="31" spans="1:11" x14ac:dyDescent="0.2">
      <c r="A31" s="8">
        <v>45663</v>
      </c>
      <c r="B31" s="6">
        <v>3</v>
      </c>
      <c r="C31" s="6">
        <v>14</v>
      </c>
      <c r="D31" s="10">
        <f t="shared" si="0"/>
        <v>0.17647058823529413</v>
      </c>
      <c r="E31" s="6">
        <v>16</v>
      </c>
      <c r="F31" s="6">
        <v>36</v>
      </c>
      <c r="G31" s="10">
        <f t="shared" si="1"/>
        <v>0.30769230769230771</v>
      </c>
      <c r="H31" s="6">
        <v>1</v>
      </c>
      <c r="I31" s="6">
        <v>35</v>
      </c>
      <c r="J31" s="10">
        <f t="shared" si="2"/>
        <v>2.7777777777777776E-2</v>
      </c>
      <c r="K31" s="7"/>
    </row>
    <row r="32" spans="1:11" x14ac:dyDescent="0.2">
      <c r="A32" s="8">
        <v>45670</v>
      </c>
      <c r="B32" s="6">
        <v>5</v>
      </c>
      <c r="C32" s="6">
        <v>15</v>
      </c>
      <c r="D32" s="10">
        <f t="shared" si="0"/>
        <v>0.25</v>
      </c>
      <c r="E32" s="6">
        <v>11</v>
      </c>
      <c r="F32" s="6">
        <v>27</v>
      </c>
      <c r="G32" s="10">
        <f t="shared" si="1"/>
        <v>0.28947368421052633</v>
      </c>
      <c r="H32" s="6">
        <v>1</v>
      </c>
      <c r="I32" s="6">
        <v>28</v>
      </c>
      <c r="J32" s="10">
        <f t="shared" si="2"/>
        <v>3.4482758620689655E-2</v>
      </c>
      <c r="K32" s="7"/>
    </row>
    <row r="33" spans="1:11" x14ac:dyDescent="0.2">
      <c r="A33" s="8">
        <v>45677</v>
      </c>
      <c r="B33" s="6">
        <v>4</v>
      </c>
      <c r="C33" s="6">
        <v>14</v>
      </c>
      <c r="D33" s="10">
        <f t="shared" si="0"/>
        <v>0.22222222222222221</v>
      </c>
      <c r="E33" s="6">
        <v>11</v>
      </c>
      <c r="F33" s="6">
        <v>29</v>
      </c>
      <c r="G33" s="10">
        <f t="shared" si="1"/>
        <v>0.27500000000000002</v>
      </c>
      <c r="H33" s="6">
        <v>6</v>
      </c>
      <c r="I33" s="6">
        <v>25</v>
      </c>
      <c r="J33" s="10">
        <f t="shared" si="2"/>
        <v>0.19354838709677419</v>
      </c>
      <c r="K33" s="7"/>
    </row>
    <row r="34" spans="1:11" x14ac:dyDescent="0.2">
      <c r="A34" s="8">
        <v>45684</v>
      </c>
      <c r="B34" s="6">
        <v>1</v>
      </c>
      <c r="C34" s="6">
        <v>20</v>
      </c>
      <c r="D34" s="10">
        <f t="shared" ref="D34:D65" si="3">IF(SUM(B34:C34)=0,"",B34/SUM(B34:C34))</f>
        <v>4.7619047619047616E-2</v>
      </c>
      <c r="E34" s="6">
        <v>19</v>
      </c>
      <c r="F34" s="6">
        <v>44</v>
      </c>
      <c r="G34" s="10">
        <f t="shared" ref="G34:G65" si="4">IF(SUM(E34:F34)=0,"",E34/SUM(E34:F34))</f>
        <v>0.30158730158730157</v>
      </c>
      <c r="H34" s="6">
        <v>12</v>
      </c>
      <c r="I34" s="6">
        <v>39</v>
      </c>
      <c r="J34" s="10">
        <f t="shared" ref="J34:J65" si="5">IF(SUM(H34:I34)=0,"",H34/SUM(H34:I34))</f>
        <v>0.23529411764705882</v>
      </c>
      <c r="K34" s="7"/>
    </row>
    <row r="35" spans="1:11" x14ac:dyDescent="0.2">
      <c r="A35" s="8">
        <v>45691</v>
      </c>
      <c r="B35" s="6">
        <v>4</v>
      </c>
      <c r="C35" s="6">
        <v>23</v>
      </c>
      <c r="D35" s="10">
        <f t="shared" si="3"/>
        <v>0.14814814814814814</v>
      </c>
      <c r="E35" s="6">
        <v>22</v>
      </c>
      <c r="F35" s="6">
        <v>46</v>
      </c>
      <c r="G35" s="10">
        <f t="shared" si="4"/>
        <v>0.3235294117647059</v>
      </c>
      <c r="H35" s="6">
        <v>7</v>
      </c>
      <c r="I35" s="6">
        <v>41</v>
      </c>
      <c r="J35" s="10">
        <f t="shared" si="5"/>
        <v>0.14583333333333334</v>
      </c>
      <c r="K35" s="7"/>
    </row>
    <row r="36" spans="1:11" x14ac:dyDescent="0.2">
      <c r="A36" s="8">
        <v>45698</v>
      </c>
      <c r="B36" s="6">
        <v>0</v>
      </c>
      <c r="C36" s="6">
        <v>15</v>
      </c>
      <c r="D36" s="10">
        <f t="shared" si="3"/>
        <v>0</v>
      </c>
      <c r="E36" s="6">
        <v>13</v>
      </c>
      <c r="F36" s="6">
        <v>31</v>
      </c>
      <c r="G36" s="10">
        <f t="shared" si="4"/>
        <v>0.29545454545454547</v>
      </c>
      <c r="H36" s="6">
        <v>2</v>
      </c>
      <c r="I36" s="6">
        <v>29</v>
      </c>
      <c r="J36" s="10">
        <f t="shared" si="5"/>
        <v>6.4516129032258063E-2</v>
      </c>
      <c r="K36" s="7"/>
    </row>
    <row r="37" spans="1:11" x14ac:dyDescent="0.2">
      <c r="A37" s="8">
        <v>45705</v>
      </c>
      <c r="B37" s="6">
        <v>0</v>
      </c>
      <c r="C37" s="6">
        <v>19</v>
      </c>
      <c r="D37" s="10">
        <f t="shared" si="3"/>
        <v>0</v>
      </c>
      <c r="E37" s="6">
        <v>8</v>
      </c>
      <c r="F37" s="6">
        <v>38</v>
      </c>
      <c r="G37" s="10">
        <f t="shared" si="4"/>
        <v>0.17391304347826086</v>
      </c>
      <c r="H37" s="6">
        <v>11</v>
      </c>
      <c r="I37" s="6">
        <v>31</v>
      </c>
      <c r="J37" s="10">
        <f t="shared" si="5"/>
        <v>0.26190476190476192</v>
      </c>
      <c r="K37" s="7"/>
    </row>
    <row r="38" spans="1:11" x14ac:dyDescent="0.2">
      <c r="A38" s="8">
        <v>45712</v>
      </c>
      <c r="B38" s="6">
        <v>2</v>
      </c>
      <c r="C38" s="6">
        <v>9</v>
      </c>
      <c r="D38" s="10">
        <f t="shared" si="3"/>
        <v>0.18181818181818182</v>
      </c>
      <c r="E38" s="6">
        <v>8</v>
      </c>
      <c r="F38" s="6">
        <v>22</v>
      </c>
      <c r="G38" s="10">
        <f t="shared" si="4"/>
        <v>0.26666666666666666</v>
      </c>
      <c r="H38" s="6">
        <v>3</v>
      </c>
      <c r="I38" s="6">
        <v>20</v>
      </c>
      <c r="J38" s="10">
        <f t="shared" si="5"/>
        <v>0.13043478260869565</v>
      </c>
      <c r="K38" s="7"/>
    </row>
    <row r="39" spans="1:11" x14ac:dyDescent="0.2">
      <c r="A39" s="8">
        <v>45719</v>
      </c>
      <c r="B39" s="6">
        <v>1</v>
      </c>
      <c r="C39" s="6">
        <v>13</v>
      </c>
      <c r="D39" s="10">
        <f t="shared" si="3"/>
        <v>7.1428571428571425E-2</v>
      </c>
      <c r="E39" s="6">
        <v>2</v>
      </c>
      <c r="F39" s="6">
        <v>33</v>
      </c>
      <c r="G39" s="10">
        <f t="shared" si="4"/>
        <v>5.7142857142857141E-2</v>
      </c>
      <c r="H39" s="6">
        <v>8</v>
      </c>
      <c r="I39" s="6">
        <v>30</v>
      </c>
      <c r="J39" s="10">
        <f t="shared" si="5"/>
        <v>0.21052631578947367</v>
      </c>
      <c r="K39" s="7"/>
    </row>
    <row r="40" spans="1:11" x14ac:dyDescent="0.2">
      <c r="A40" s="8">
        <v>45726</v>
      </c>
      <c r="B40" s="6">
        <v>1</v>
      </c>
      <c r="C40" s="6">
        <v>11</v>
      </c>
      <c r="D40" s="10">
        <f t="shared" si="3"/>
        <v>8.3333333333333329E-2</v>
      </c>
      <c r="E40" s="6">
        <v>6</v>
      </c>
      <c r="F40" s="6">
        <v>20</v>
      </c>
      <c r="G40" s="10">
        <f t="shared" si="4"/>
        <v>0.23076923076923078</v>
      </c>
      <c r="H40" s="6">
        <v>2</v>
      </c>
      <c r="I40" s="6">
        <v>18</v>
      </c>
      <c r="J40" s="10">
        <f t="shared" si="5"/>
        <v>0.1</v>
      </c>
      <c r="K40" s="7"/>
    </row>
    <row r="41" spans="1:11" x14ac:dyDescent="0.2">
      <c r="A41" s="8">
        <v>45733</v>
      </c>
      <c r="B41" s="6">
        <v>1</v>
      </c>
      <c r="C41" s="6">
        <v>11</v>
      </c>
      <c r="D41" s="10">
        <f t="shared" si="3"/>
        <v>8.3333333333333329E-2</v>
      </c>
      <c r="E41" s="6">
        <v>5</v>
      </c>
      <c r="F41" s="6">
        <v>24</v>
      </c>
      <c r="G41" s="10">
        <f t="shared" si="4"/>
        <v>0.17241379310344829</v>
      </c>
      <c r="H41" s="6">
        <v>2</v>
      </c>
      <c r="I41" s="6">
        <v>20</v>
      </c>
      <c r="J41" s="10">
        <f t="shared" si="5"/>
        <v>9.0909090909090912E-2</v>
      </c>
      <c r="K41" s="7"/>
    </row>
    <row r="42" spans="1:11" x14ac:dyDescent="0.2">
      <c r="A42" s="8">
        <v>45740</v>
      </c>
      <c r="B42" s="6">
        <v>4</v>
      </c>
      <c r="C42" s="6">
        <v>11</v>
      </c>
      <c r="D42" s="10">
        <f t="shared" si="3"/>
        <v>0.26666666666666666</v>
      </c>
      <c r="E42" s="6">
        <v>3</v>
      </c>
      <c r="F42" s="6">
        <v>30</v>
      </c>
      <c r="G42" s="10">
        <f t="shared" si="4"/>
        <v>9.0909090909090912E-2</v>
      </c>
      <c r="H42" s="6">
        <v>0</v>
      </c>
      <c r="I42" s="6">
        <v>30</v>
      </c>
      <c r="J42" s="10">
        <f t="shared" si="5"/>
        <v>0</v>
      </c>
      <c r="K42" s="7"/>
    </row>
    <row r="43" spans="1:11" x14ac:dyDescent="0.2">
      <c r="A43" s="8">
        <v>45901</v>
      </c>
      <c r="B43" s="6">
        <v>3</v>
      </c>
      <c r="C43" s="6">
        <v>6</v>
      </c>
      <c r="D43" s="10">
        <f t="shared" si="3"/>
        <v>0.33333333333333331</v>
      </c>
      <c r="E43" s="6">
        <v>0</v>
      </c>
      <c r="F43" s="6">
        <v>10</v>
      </c>
      <c r="G43" s="10">
        <f t="shared" si="4"/>
        <v>0</v>
      </c>
      <c r="H43" s="6">
        <v>0</v>
      </c>
      <c r="I43" s="6">
        <v>10</v>
      </c>
      <c r="J43" s="10">
        <f t="shared" si="5"/>
        <v>0</v>
      </c>
      <c r="K43" s="7"/>
    </row>
    <row r="44" spans="1:11" x14ac:dyDescent="0.2">
      <c r="A44" s="8">
        <v>45908</v>
      </c>
      <c r="B44" s="6">
        <v>3</v>
      </c>
      <c r="C44" s="6">
        <v>1</v>
      </c>
      <c r="D44" s="10">
        <f t="shared" si="3"/>
        <v>0.75</v>
      </c>
      <c r="E44" s="6">
        <v>0</v>
      </c>
      <c r="F44" s="6">
        <v>5</v>
      </c>
      <c r="G44" s="10">
        <f t="shared" si="4"/>
        <v>0</v>
      </c>
      <c r="H44" s="6">
        <v>0</v>
      </c>
      <c r="I44" s="6">
        <v>5</v>
      </c>
      <c r="J44" s="10">
        <f t="shared" si="5"/>
        <v>0</v>
      </c>
      <c r="K44" s="7"/>
    </row>
    <row r="45" spans="1:11" x14ac:dyDescent="0.2">
      <c r="A45" s="8">
        <v>45915</v>
      </c>
      <c r="B45" s="6">
        <v>3</v>
      </c>
      <c r="C45" s="6">
        <v>7</v>
      </c>
      <c r="D45" s="10">
        <f t="shared" si="3"/>
        <v>0.3</v>
      </c>
      <c r="E45" s="6">
        <v>0</v>
      </c>
      <c r="F45" s="6">
        <v>13</v>
      </c>
      <c r="G45" s="10">
        <f t="shared" si="4"/>
        <v>0</v>
      </c>
      <c r="H45" s="6">
        <v>0</v>
      </c>
      <c r="I45" s="6">
        <v>12</v>
      </c>
      <c r="J45" s="10">
        <f t="shared" si="5"/>
        <v>0</v>
      </c>
      <c r="K45" s="7"/>
    </row>
    <row r="46" spans="1:11" x14ac:dyDescent="0.2">
      <c r="A46" s="8">
        <v>45922</v>
      </c>
      <c r="B46" s="6">
        <v>2</v>
      </c>
      <c r="C46" s="6">
        <v>6</v>
      </c>
      <c r="D46" s="10">
        <f t="shared" si="3"/>
        <v>0.25</v>
      </c>
      <c r="E46" s="6">
        <v>0</v>
      </c>
      <c r="F46" s="6">
        <v>13</v>
      </c>
      <c r="G46" s="10">
        <f t="shared" si="4"/>
        <v>0</v>
      </c>
      <c r="H46" s="6">
        <v>0</v>
      </c>
      <c r="I46" s="6">
        <v>13</v>
      </c>
      <c r="J46" s="10">
        <f t="shared" si="5"/>
        <v>0</v>
      </c>
      <c r="K46" s="7"/>
    </row>
    <row r="47" spans="1:11" x14ac:dyDescent="0.2">
      <c r="A47" s="8">
        <v>45929</v>
      </c>
      <c r="B47" s="6">
        <v>2</v>
      </c>
      <c r="C47" s="6">
        <v>7</v>
      </c>
      <c r="D47" s="10">
        <f t="shared" si="3"/>
        <v>0.22222222222222221</v>
      </c>
      <c r="E47" s="6">
        <v>0</v>
      </c>
      <c r="F47" s="6">
        <v>12</v>
      </c>
      <c r="G47" s="10">
        <f t="shared" si="4"/>
        <v>0</v>
      </c>
      <c r="H47" s="6">
        <v>0</v>
      </c>
      <c r="I47" s="6">
        <v>12</v>
      </c>
      <c r="J47" s="10">
        <f t="shared" si="5"/>
        <v>0</v>
      </c>
      <c r="K47" s="7"/>
    </row>
    <row r="48" spans="1:11" x14ac:dyDescent="0.2">
      <c r="A48" s="8">
        <v>45936</v>
      </c>
      <c r="B48" s="6">
        <v>1</v>
      </c>
      <c r="C48" s="6">
        <v>4</v>
      </c>
      <c r="D48" s="10">
        <f t="shared" si="3"/>
        <v>0.2</v>
      </c>
      <c r="E48" s="6">
        <v>0</v>
      </c>
      <c r="F48" s="6">
        <v>6</v>
      </c>
      <c r="G48" s="10">
        <f t="shared" si="4"/>
        <v>0</v>
      </c>
      <c r="H48" s="6">
        <v>0</v>
      </c>
      <c r="I48" s="6">
        <v>6</v>
      </c>
      <c r="J48" s="10">
        <f t="shared" si="5"/>
        <v>0</v>
      </c>
      <c r="K48" s="7"/>
    </row>
    <row r="49" spans="1:11" x14ac:dyDescent="0.2">
      <c r="A49" s="8">
        <v>45943</v>
      </c>
      <c r="B49" s="6">
        <v>0</v>
      </c>
      <c r="C49" s="6">
        <v>2</v>
      </c>
      <c r="D49" s="10">
        <f t="shared" si="3"/>
        <v>0</v>
      </c>
      <c r="E49" s="6">
        <v>0</v>
      </c>
      <c r="F49" s="6">
        <v>0</v>
      </c>
      <c r="G49" s="10" t="str">
        <f t="shared" si="4"/>
        <v/>
      </c>
      <c r="H49" s="6">
        <v>0</v>
      </c>
      <c r="I49" s="6">
        <v>0</v>
      </c>
      <c r="J49" s="10" t="str">
        <f t="shared" si="5"/>
        <v/>
      </c>
      <c r="K49" s="7"/>
    </row>
    <row r="50" spans="1:11" x14ac:dyDescent="0.2">
      <c r="A50" s="8">
        <v>45950</v>
      </c>
      <c r="B50" s="6">
        <v>0</v>
      </c>
      <c r="C50" s="6">
        <v>6</v>
      </c>
      <c r="D50" s="10">
        <f t="shared" si="3"/>
        <v>0</v>
      </c>
      <c r="E50" s="6">
        <v>0</v>
      </c>
      <c r="F50" s="6">
        <v>9</v>
      </c>
      <c r="G50" s="10">
        <f t="shared" si="4"/>
        <v>0</v>
      </c>
      <c r="H50" s="6">
        <v>0</v>
      </c>
      <c r="I50" s="6">
        <v>8</v>
      </c>
      <c r="J50" s="10">
        <f t="shared" si="5"/>
        <v>0</v>
      </c>
      <c r="K50" s="7"/>
    </row>
    <row r="51" spans="1:11" x14ac:dyDescent="0.2">
      <c r="A51" s="8">
        <v>45957</v>
      </c>
      <c r="B51" s="6">
        <v>0</v>
      </c>
      <c r="C51" s="6">
        <v>2</v>
      </c>
      <c r="D51" s="10">
        <f t="shared" si="3"/>
        <v>0</v>
      </c>
      <c r="E51" s="6">
        <v>0</v>
      </c>
      <c r="F51" s="6">
        <v>10</v>
      </c>
      <c r="G51" s="10">
        <f t="shared" si="4"/>
        <v>0</v>
      </c>
      <c r="H51" s="6">
        <v>0</v>
      </c>
      <c r="I51" s="6">
        <v>11</v>
      </c>
      <c r="J51" s="10">
        <f t="shared" si="5"/>
        <v>0</v>
      </c>
      <c r="K51" s="7"/>
    </row>
    <row r="52" spans="1:11" x14ac:dyDescent="0.2">
      <c r="A52" s="8">
        <v>45964</v>
      </c>
      <c r="B52" s="6">
        <v>2</v>
      </c>
      <c r="C52" s="6">
        <v>4</v>
      </c>
      <c r="D52" s="10">
        <f t="shared" si="3"/>
        <v>0.33333333333333331</v>
      </c>
      <c r="E52" s="6">
        <v>0</v>
      </c>
      <c r="F52" s="6">
        <v>9</v>
      </c>
      <c r="G52" s="10">
        <f t="shared" si="4"/>
        <v>0</v>
      </c>
      <c r="H52" s="6">
        <v>0</v>
      </c>
      <c r="I52" s="6">
        <v>10</v>
      </c>
      <c r="J52" s="10">
        <f t="shared" si="5"/>
        <v>0</v>
      </c>
      <c r="K52" s="7"/>
    </row>
    <row r="53" spans="1:11" x14ac:dyDescent="0.2">
      <c r="A53" s="8">
        <v>45971</v>
      </c>
      <c r="B53" s="6">
        <v>2</v>
      </c>
      <c r="C53" s="6">
        <v>4</v>
      </c>
      <c r="D53" s="10">
        <f t="shared" si="3"/>
        <v>0.33333333333333331</v>
      </c>
      <c r="E53" s="6">
        <v>0</v>
      </c>
      <c r="F53" s="6">
        <v>12</v>
      </c>
      <c r="G53" s="10">
        <f t="shared" si="4"/>
        <v>0</v>
      </c>
      <c r="H53" s="6">
        <v>0</v>
      </c>
      <c r="I53" s="6">
        <v>14</v>
      </c>
      <c r="J53" s="10">
        <f t="shared" si="5"/>
        <v>0</v>
      </c>
      <c r="K53" s="7"/>
    </row>
    <row r="54" spans="1:11" x14ac:dyDescent="0.2">
      <c r="A54" s="8">
        <v>45978</v>
      </c>
      <c r="B54" s="6">
        <v>0</v>
      </c>
      <c r="C54" s="6">
        <v>2</v>
      </c>
      <c r="D54" s="10">
        <f t="shared" si="3"/>
        <v>0</v>
      </c>
      <c r="E54" s="6">
        <v>1</v>
      </c>
      <c r="F54" s="6">
        <v>4</v>
      </c>
      <c r="G54" s="10">
        <f t="shared" si="4"/>
        <v>0.2</v>
      </c>
      <c r="H54" s="6">
        <v>0</v>
      </c>
      <c r="I54" s="6">
        <v>5</v>
      </c>
      <c r="J54" s="10">
        <f t="shared" si="5"/>
        <v>0</v>
      </c>
      <c r="K54" s="7"/>
    </row>
    <row r="55" spans="1:11" x14ac:dyDescent="0.2">
      <c r="A55" s="8">
        <v>45985</v>
      </c>
      <c r="B55" s="6">
        <v>3</v>
      </c>
      <c r="C55" s="6">
        <v>5</v>
      </c>
      <c r="D55" s="10">
        <f t="shared" si="3"/>
        <v>0.375</v>
      </c>
      <c r="E55" s="6">
        <v>0</v>
      </c>
      <c r="F55" s="6">
        <v>15</v>
      </c>
      <c r="G55" s="10">
        <f t="shared" si="4"/>
        <v>0</v>
      </c>
      <c r="H55" s="6">
        <v>0</v>
      </c>
      <c r="I55" s="6">
        <v>15</v>
      </c>
      <c r="J55" s="10">
        <f t="shared" si="5"/>
        <v>0</v>
      </c>
      <c r="K55" s="7"/>
    </row>
    <row r="56" spans="1:11" x14ac:dyDescent="0.2">
      <c r="A56" s="8">
        <v>45992</v>
      </c>
      <c r="B56" s="6">
        <v>5</v>
      </c>
      <c r="C56" s="6">
        <v>11</v>
      </c>
      <c r="D56" s="10">
        <f t="shared" si="3"/>
        <v>0.3125</v>
      </c>
      <c r="E56" s="6">
        <v>1</v>
      </c>
      <c r="F56" s="6">
        <v>14</v>
      </c>
      <c r="G56" s="10">
        <f t="shared" si="4"/>
        <v>6.6666666666666666E-2</v>
      </c>
      <c r="H56" s="6">
        <v>0</v>
      </c>
      <c r="I56" s="6">
        <v>15</v>
      </c>
      <c r="J56" s="10">
        <f t="shared" si="5"/>
        <v>0</v>
      </c>
      <c r="K56" s="7"/>
    </row>
    <row r="57" spans="1:11" x14ac:dyDescent="0.2">
      <c r="A57" s="8">
        <v>45999</v>
      </c>
      <c r="B57" s="6">
        <v>0</v>
      </c>
      <c r="C57" s="6">
        <v>4</v>
      </c>
      <c r="D57" s="10">
        <f t="shared" si="3"/>
        <v>0</v>
      </c>
      <c r="E57" s="6">
        <v>3</v>
      </c>
      <c r="F57" s="6">
        <v>10</v>
      </c>
      <c r="G57" s="10">
        <f t="shared" si="4"/>
        <v>0.23076923076923078</v>
      </c>
      <c r="H57" s="6">
        <v>1</v>
      </c>
      <c r="I57" s="6">
        <v>9</v>
      </c>
      <c r="J57" s="10">
        <f t="shared" si="5"/>
        <v>0.1</v>
      </c>
      <c r="K57" s="7"/>
    </row>
    <row r="58" spans="1:11" x14ac:dyDescent="0.2">
      <c r="A58" s="8">
        <v>46006</v>
      </c>
      <c r="B58" s="6">
        <v>0</v>
      </c>
      <c r="C58" s="6">
        <v>12</v>
      </c>
      <c r="D58" s="10">
        <f t="shared" si="3"/>
        <v>0</v>
      </c>
      <c r="E58" s="6">
        <v>4</v>
      </c>
      <c r="F58" s="6">
        <v>26</v>
      </c>
      <c r="G58" s="10">
        <f t="shared" si="4"/>
        <v>0.13333333333333333</v>
      </c>
      <c r="H58" s="6">
        <v>2</v>
      </c>
      <c r="I58" s="6">
        <v>27</v>
      </c>
      <c r="J58" s="10">
        <f t="shared" si="5"/>
        <v>6.8965517241379309E-2</v>
      </c>
      <c r="K58" s="7"/>
    </row>
    <row r="59" spans="1:11" x14ac:dyDescent="0.2">
      <c r="A59" s="8">
        <v>46013</v>
      </c>
      <c r="B59" s="6">
        <v>0</v>
      </c>
      <c r="C59" s="6">
        <v>0</v>
      </c>
      <c r="D59" s="10" t="str">
        <f t="shared" si="3"/>
        <v/>
      </c>
      <c r="E59" s="6">
        <v>13</v>
      </c>
      <c r="F59" s="6">
        <v>26</v>
      </c>
      <c r="G59" s="10">
        <f t="shared" si="4"/>
        <v>0.33333333333333331</v>
      </c>
      <c r="H59" s="6">
        <v>1</v>
      </c>
      <c r="I59" s="6">
        <v>26</v>
      </c>
      <c r="J59" s="10">
        <f t="shared" si="5"/>
        <v>3.7037037037037035E-2</v>
      </c>
      <c r="K59" s="7"/>
    </row>
    <row r="60" spans="1:11" x14ac:dyDescent="0.2">
      <c r="A60" s="8">
        <v>46020</v>
      </c>
      <c r="B60" s="6">
        <v>1</v>
      </c>
      <c r="C60" s="6">
        <v>12</v>
      </c>
      <c r="D60" s="10">
        <f t="shared" si="3"/>
        <v>7.6923076923076927E-2</v>
      </c>
      <c r="E60" s="6">
        <v>10</v>
      </c>
      <c r="F60" s="6">
        <v>24</v>
      </c>
      <c r="G60" s="10">
        <f t="shared" si="4"/>
        <v>0.29411764705882354</v>
      </c>
      <c r="H60" s="6">
        <v>1</v>
      </c>
      <c r="I60" s="6">
        <v>24</v>
      </c>
      <c r="J60" s="10">
        <f t="shared" si="5"/>
        <v>0.04</v>
      </c>
      <c r="K60" s="7"/>
    </row>
    <row r="61" spans="1:11" x14ac:dyDescent="0.2">
      <c r="A61" s="8">
        <v>46027</v>
      </c>
      <c r="B61" s="6">
        <v>1</v>
      </c>
      <c r="C61" s="6">
        <v>10</v>
      </c>
      <c r="D61" s="10">
        <f t="shared" si="3"/>
        <v>9.0909090909090912E-2</v>
      </c>
      <c r="E61" s="6">
        <v>14</v>
      </c>
      <c r="F61" s="6">
        <v>22</v>
      </c>
      <c r="G61" s="10">
        <f t="shared" si="4"/>
        <v>0.3888888888888889</v>
      </c>
      <c r="H61" s="6">
        <v>2</v>
      </c>
      <c r="I61" s="6">
        <v>22</v>
      </c>
      <c r="J61" s="10">
        <f t="shared" si="5"/>
        <v>8.3333333333333329E-2</v>
      </c>
      <c r="K61" s="7"/>
    </row>
    <row r="62" spans="1:11" x14ac:dyDescent="0.2">
      <c r="A62" s="8">
        <v>46034</v>
      </c>
      <c r="B62" s="6">
        <v>0</v>
      </c>
      <c r="C62" s="6">
        <v>15</v>
      </c>
      <c r="D62" s="10">
        <f t="shared" si="3"/>
        <v>0</v>
      </c>
      <c r="E62" s="6">
        <v>16</v>
      </c>
      <c r="F62" s="6">
        <v>30</v>
      </c>
      <c r="G62" s="10">
        <f t="shared" si="4"/>
        <v>0.34782608695652173</v>
      </c>
      <c r="H62" s="6">
        <v>0</v>
      </c>
      <c r="I62" s="6">
        <v>30</v>
      </c>
      <c r="J62" s="10">
        <f t="shared" si="5"/>
        <v>0</v>
      </c>
      <c r="K62" s="7"/>
    </row>
    <row r="63" spans="1:11" x14ac:dyDescent="0.2">
      <c r="A63" s="8">
        <v>46041</v>
      </c>
      <c r="B63" s="6">
        <v>0</v>
      </c>
      <c r="C63" s="6">
        <v>18</v>
      </c>
      <c r="D63" s="10">
        <f t="shared" si="3"/>
        <v>0</v>
      </c>
      <c r="E63" s="6">
        <v>30</v>
      </c>
      <c r="F63" s="6">
        <v>36</v>
      </c>
      <c r="G63" s="10">
        <f t="shared" si="4"/>
        <v>0.45454545454545453</v>
      </c>
      <c r="H63" s="6">
        <v>4</v>
      </c>
      <c r="I63" s="6">
        <v>36</v>
      </c>
      <c r="J63" s="10">
        <f t="shared" si="5"/>
        <v>0.1</v>
      </c>
      <c r="K63" s="7"/>
    </row>
    <row r="64" spans="1:11" x14ac:dyDescent="0.2">
      <c r="A64" s="8">
        <v>46048</v>
      </c>
      <c r="B64" s="6">
        <v>4</v>
      </c>
      <c r="C64" s="6">
        <v>30</v>
      </c>
      <c r="D64" s="10">
        <f t="shared" si="3"/>
        <v>0.11764705882352941</v>
      </c>
      <c r="E64" s="6">
        <v>63</v>
      </c>
      <c r="F64" s="6">
        <v>60</v>
      </c>
      <c r="G64" s="10">
        <f t="shared" si="4"/>
        <v>0.51219512195121952</v>
      </c>
      <c r="H64" s="6">
        <v>1</v>
      </c>
      <c r="I64" s="6">
        <v>61</v>
      </c>
      <c r="J64" s="10">
        <f t="shared" si="5"/>
        <v>1.6129032258064516E-2</v>
      </c>
      <c r="K64" s="7"/>
    </row>
    <row r="65" spans="1:11" x14ac:dyDescent="0.2">
      <c r="A65" s="8">
        <v>46055</v>
      </c>
      <c r="B65" s="6">
        <v>2</v>
      </c>
      <c r="C65" s="6">
        <v>26</v>
      </c>
      <c r="D65" s="10">
        <f t="shared" si="3"/>
        <v>7.1428571428571425E-2</v>
      </c>
      <c r="E65" s="6">
        <v>49</v>
      </c>
      <c r="F65" s="6">
        <v>53</v>
      </c>
      <c r="G65" s="10">
        <f t="shared" si="4"/>
        <v>0.48039215686274511</v>
      </c>
      <c r="H65" s="6">
        <v>6</v>
      </c>
      <c r="I65" s="6">
        <v>54</v>
      </c>
      <c r="J65" s="10">
        <f t="shared" si="5"/>
        <v>0.1</v>
      </c>
      <c r="K65" s="7"/>
    </row>
    <row r="66" spans="1:11" x14ac:dyDescent="0.2">
      <c r="A66" s="8">
        <v>46062</v>
      </c>
      <c r="B66" s="6">
        <v>1</v>
      </c>
      <c r="C66" s="6">
        <v>18</v>
      </c>
      <c r="D66" s="10">
        <f t="shared" ref="D66:D97" si="6">IF(SUM(B66:C66)=0,"",B66/SUM(B66:C66))</f>
        <v>5.2631578947368418E-2</v>
      </c>
      <c r="E66" s="6">
        <v>15</v>
      </c>
      <c r="F66" s="6">
        <v>32</v>
      </c>
      <c r="G66" s="10">
        <f t="shared" ref="G66:G97" si="7">IF(SUM(E66:F66)=0,"",E66/SUM(E66:F66))</f>
        <v>0.31914893617021278</v>
      </c>
      <c r="H66" s="6">
        <v>10</v>
      </c>
      <c r="I66" s="6">
        <v>29</v>
      </c>
      <c r="J66" s="10">
        <f t="shared" ref="J66:J97" si="8">IF(SUM(H66:I66)=0,"",H66/SUM(H66:I66))</f>
        <v>0.25641025641025639</v>
      </c>
      <c r="K66" s="7"/>
    </row>
    <row r="67" spans="1:11" x14ac:dyDescent="0.2">
      <c r="A67" s="8">
        <v>46069</v>
      </c>
      <c r="B67" s="6">
        <v>2</v>
      </c>
      <c r="C67" s="6">
        <v>11</v>
      </c>
      <c r="D67" s="10">
        <f t="shared" si="6"/>
        <v>0.15384615384615385</v>
      </c>
      <c r="E67" s="6">
        <v>7</v>
      </c>
      <c r="F67" s="6">
        <v>20</v>
      </c>
      <c r="G67" s="10">
        <f t="shared" si="7"/>
        <v>0.25925925925925924</v>
      </c>
      <c r="H67" s="6">
        <v>5</v>
      </c>
      <c r="I67" s="6">
        <v>19</v>
      </c>
      <c r="J67" s="10">
        <f t="shared" si="8"/>
        <v>0.20833333333333334</v>
      </c>
      <c r="K67" s="7"/>
    </row>
    <row r="68" spans="1:11" x14ac:dyDescent="0.2">
      <c r="A68" s="8">
        <v>46076</v>
      </c>
      <c r="B68" s="6">
        <v>2</v>
      </c>
      <c r="C68" s="6">
        <v>9</v>
      </c>
      <c r="D68" s="10">
        <f t="shared" si="6"/>
        <v>0.18181818181818182</v>
      </c>
      <c r="E68" s="6">
        <v>7</v>
      </c>
      <c r="F68" s="6">
        <v>18</v>
      </c>
      <c r="G68" s="10">
        <f t="shared" si="7"/>
        <v>0.28000000000000003</v>
      </c>
      <c r="H68" s="6">
        <v>4</v>
      </c>
      <c r="I68" s="6">
        <v>16</v>
      </c>
      <c r="J68" s="10">
        <f t="shared" si="8"/>
        <v>0.2</v>
      </c>
      <c r="K68" s="7"/>
    </row>
    <row r="69" spans="1:11" x14ac:dyDescent="0.2">
      <c r="A69" s="8">
        <v>46083</v>
      </c>
      <c r="B69" s="6">
        <v>0</v>
      </c>
      <c r="C69" s="6">
        <v>16</v>
      </c>
      <c r="D69" s="10">
        <f t="shared" si="6"/>
        <v>0</v>
      </c>
      <c r="E69" s="6">
        <v>5</v>
      </c>
      <c r="F69" s="6">
        <v>26</v>
      </c>
      <c r="G69" s="10">
        <f t="shared" si="7"/>
        <v>0.16129032258064516</v>
      </c>
      <c r="H69" s="6">
        <v>6</v>
      </c>
      <c r="I69" s="6">
        <v>19</v>
      </c>
      <c r="J69" s="10">
        <f t="shared" si="8"/>
        <v>0.24</v>
      </c>
      <c r="K69" s="7"/>
    </row>
    <row r="70" spans="1:11" x14ac:dyDescent="0.2">
      <c r="A70" s="8">
        <v>46090</v>
      </c>
      <c r="B70" s="6">
        <v>0</v>
      </c>
      <c r="C70" s="6">
        <v>10</v>
      </c>
      <c r="D70" s="10">
        <f t="shared" si="6"/>
        <v>0</v>
      </c>
      <c r="E70" s="6">
        <v>5</v>
      </c>
      <c r="F70" s="6">
        <v>11</v>
      </c>
      <c r="G70" s="10">
        <f t="shared" si="7"/>
        <v>0.3125</v>
      </c>
      <c r="H70" s="6">
        <v>0</v>
      </c>
      <c r="I70" s="6">
        <v>10</v>
      </c>
      <c r="J70" s="10">
        <f t="shared" si="8"/>
        <v>0</v>
      </c>
      <c r="K70" s="7"/>
    </row>
    <row r="71" spans="1:11" x14ac:dyDescent="0.2">
      <c r="A71" s="8">
        <v>46097</v>
      </c>
      <c r="B71" s="6">
        <v>4</v>
      </c>
      <c r="C71" s="6">
        <v>6</v>
      </c>
      <c r="D71" s="10">
        <f t="shared" si="6"/>
        <v>0.4</v>
      </c>
      <c r="E71" s="6">
        <v>6</v>
      </c>
      <c r="F71" s="6">
        <v>12</v>
      </c>
      <c r="G71" s="10">
        <f t="shared" si="7"/>
        <v>0.33333333333333331</v>
      </c>
      <c r="H71" s="6">
        <v>2</v>
      </c>
      <c r="I71" s="6">
        <v>10</v>
      </c>
      <c r="J71" s="10">
        <f t="shared" si="8"/>
        <v>0.16666666666666666</v>
      </c>
      <c r="K71" s="7"/>
    </row>
    <row r="72" spans="1:11" x14ac:dyDescent="0.2">
      <c r="A72" s="8">
        <v>46104</v>
      </c>
      <c r="B72" s="6">
        <v>1</v>
      </c>
      <c r="C72" s="6">
        <v>12</v>
      </c>
      <c r="D72" s="10">
        <f t="shared" si="6"/>
        <v>7.6923076923076927E-2</v>
      </c>
      <c r="E72" s="6">
        <v>7</v>
      </c>
      <c r="F72" s="6">
        <v>16</v>
      </c>
      <c r="G72" s="10">
        <f t="shared" si="7"/>
        <v>0.30434782608695654</v>
      </c>
      <c r="H72" s="6">
        <v>1</v>
      </c>
      <c r="I72" s="6">
        <v>16</v>
      </c>
      <c r="J72" s="10">
        <f t="shared" si="8"/>
        <v>5.8823529411764705E-2</v>
      </c>
      <c r="K72" s="7"/>
    </row>
    <row r="73" spans="1:11" x14ac:dyDescent="0.2">
      <c r="A73" s="8">
        <v>46272</v>
      </c>
      <c r="B73" s="6">
        <v>4</v>
      </c>
      <c r="C73" s="6">
        <v>5</v>
      </c>
      <c r="D73" s="10">
        <f t="shared" si="6"/>
        <v>0.44444444444444442</v>
      </c>
      <c r="E73" s="6">
        <v>0</v>
      </c>
      <c r="F73" s="6">
        <v>9</v>
      </c>
      <c r="G73" s="10">
        <f t="shared" si="7"/>
        <v>0</v>
      </c>
      <c r="H73" s="6">
        <v>0</v>
      </c>
      <c r="I73" s="6">
        <v>10</v>
      </c>
      <c r="J73" s="10">
        <f t="shared" si="8"/>
        <v>0</v>
      </c>
      <c r="K73" s="7" t="s">
        <v>71</v>
      </c>
    </row>
    <row r="74" spans="1:11" x14ac:dyDescent="0.2">
      <c r="A74" s="8">
        <v>46279</v>
      </c>
      <c r="B74" s="6">
        <v>5</v>
      </c>
      <c r="C74" s="6">
        <v>11</v>
      </c>
      <c r="D74" s="10">
        <f t="shared" si="6"/>
        <v>0.3125</v>
      </c>
      <c r="E74" s="6">
        <v>1</v>
      </c>
      <c r="F74" s="6">
        <v>12</v>
      </c>
      <c r="G74" s="10">
        <f t="shared" si="7"/>
        <v>7.6923076923076927E-2</v>
      </c>
      <c r="H74" s="6">
        <v>0</v>
      </c>
      <c r="I74" s="6">
        <v>12</v>
      </c>
      <c r="J74" s="10">
        <f t="shared" si="8"/>
        <v>0</v>
      </c>
      <c r="K74" s="7"/>
    </row>
    <row r="75" spans="1:11" x14ac:dyDescent="0.2">
      <c r="A75" s="8">
        <v>46286</v>
      </c>
      <c r="B75" s="6">
        <v>4</v>
      </c>
      <c r="C75" s="6">
        <v>14</v>
      </c>
      <c r="D75" s="10">
        <f t="shared" si="6"/>
        <v>0.22222222222222221</v>
      </c>
      <c r="E75" s="6">
        <v>0</v>
      </c>
      <c r="F75" s="6">
        <v>20</v>
      </c>
      <c r="G75" s="10">
        <f t="shared" si="7"/>
        <v>0</v>
      </c>
      <c r="H75" s="6">
        <v>0</v>
      </c>
      <c r="I75" s="6">
        <v>18</v>
      </c>
      <c r="J75" s="10">
        <f t="shared" si="8"/>
        <v>0</v>
      </c>
      <c r="K75" s="7"/>
    </row>
    <row r="76" spans="1:11" x14ac:dyDescent="0.2">
      <c r="A76" s="8">
        <v>46293</v>
      </c>
      <c r="B76" s="6">
        <v>4</v>
      </c>
      <c r="C76" s="6">
        <v>9</v>
      </c>
      <c r="D76" s="10">
        <f t="shared" si="6"/>
        <v>0.30769230769230771</v>
      </c>
      <c r="E76" s="6">
        <v>0</v>
      </c>
      <c r="F76" s="6">
        <v>14</v>
      </c>
      <c r="G76" s="10">
        <f t="shared" si="7"/>
        <v>0</v>
      </c>
      <c r="H76" s="6">
        <v>1</v>
      </c>
      <c r="I76" s="6">
        <v>13</v>
      </c>
      <c r="J76" s="10">
        <f t="shared" si="8"/>
        <v>7.1428571428571425E-2</v>
      </c>
      <c r="K76" s="7"/>
    </row>
    <row r="77" spans="1:11" x14ac:dyDescent="0.2">
      <c r="A77" s="8">
        <v>46300</v>
      </c>
      <c r="B77" s="6"/>
      <c r="C77" s="6"/>
      <c r="D77" s="10" t="str">
        <f t="shared" si="6"/>
        <v/>
      </c>
      <c r="E77" s="6"/>
      <c r="F77" s="6"/>
      <c r="G77" s="10" t="str">
        <f t="shared" si="7"/>
        <v/>
      </c>
      <c r="H77" s="6"/>
      <c r="I77" s="6"/>
      <c r="J77" s="10" t="str">
        <f t="shared" si="8"/>
        <v/>
      </c>
      <c r="K77" s="7"/>
    </row>
    <row r="78" spans="1:11" x14ac:dyDescent="0.2">
      <c r="A78" s="8">
        <v>46307</v>
      </c>
      <c r="B78" s="6"/>
      <c r="C78" s="6"/>
      <c r="D78" s="10" t="str">
        <f t="shared" si="6"/>
        <v/>
      </c>
      <c r="E78" s="6"/>
      <c r="F78" s="6"/>
      <c r="G78" s="10" t="str">
        <f t="shared" si="7"/>
        <v/>
      </c>
      <c r="H78" s="6"/>
      <c r="I78" s="6"/>
      <c r="J78" s="10" t="str">
        <f t="shared" si="8"/>
        <v/>
      </c>
      <c r="K78" s="7"/>
    </row>
    <row r="79" spans="1:11" x14ac:dyDescent="0.2">
      <c r="A79" s="8">
        <v>46314</v>
      </c>
      <c r="B79" s="6"/>
      <c r="C79" s="6"/>
      <c r="D79" s="10" t="str">
        <f t="shared" si="6"/>
        <v/>
      </c>
      <c r="E79" s="6"/>
      <c r="F79" s="6"/>
      <c r="G79" s="10" t="str">
        <f t="shared" si="7"/>
        <v/>
      </c>
      <c r="H79" s="6"/>
      <c r="I79" s="6"/>
      <c r="J79" s="10" t="str">
        <f t="shared" si="8"/>
        <v/>
      </c>
      <c r="K79" s="7"/>
    </row>
    <row r="80" spans="1:11" x14ac:dyDescent="0.2">
      <c r="A80" s="8">
        <v>46321</v>
      </c>
      <c r="B80" s="6"/>
      <c r="C80" s="6"/>
      <c r="D80" s="10" t="str">
        <f t="shared" si="6"/>
        <v/>
      </c>
      <c r="E80" s="6"/>
      <c r="F80" s="6"/>
      <c r="G80" s="10" t="str">
        <f t="shared" si="7"/>
        <v/>
      </c>
      <c r="H80" s="6"/>
      <c r="I80" s="6"/>
      <c r="J80" s="10" t="str">
        <f t="shared" si="8"/>
        <v/>
      </c>
      <c r="K80" s="7"/>
    </row>
    <row r="81" spans="1:11" x14ac:dyDescent="0.2">
      <c r="A81" s="8">
        <v>46328</v>
      </c>
      <c r="B81" s="6"/>
      <c r="C81" s="6"/>
      <c r="D81" s="10" t="str">
        <f t="shared" si="6"/>
        <v/>
      </c>
      <c r="E81" s="6"/>
      <c r="F81" s="6"/>
      <c r="G81" s="10" t="str">
        <f t="shared" si="7"/>
        <v/>
      </c>
      <c r="H81" s="6"/>
      <c r="I81" s="6"/>
      <c r="J81" s="10" t="str">
        <f t="shared" si="8"/>
        <v/>
      </c>
      <c r="K81" s="7"/>
    </row>
    <row r="82" spans="1:11" x14ac:dyDescent="0.2">
      <c r="A82" s="8">
        <v>46335</v>
      </c>
      <c r="B82" s="6"/>
      <c r="C82" s="6"/>
      <c r="D82" s="10" t="str">
        <f t="shared" si="6"/>
        <v/>
      </c>
      <c r="E82" s="6"/>
      <c r="F82" s="6"/>
      <c r="G82" s="10" t="str">
        <f t="shared" si="7"/>
        <v/>
      </c>
      <c r="H82" s="6"/>
      <c r="I82" s="6"/>
      <c r="J82" s="10" t="str">
        <f t="shared" si="8"/>
        <v/>
      </c>
      <c r="K82" s="7"/>
    </row>
    <row r="83" spans="1:11" x14ac:dyDescent="0.2">
      <c r="A83" s="8">
        <v>46342</v>
      </c>
      <c r="B83" s="6"/>
      <c r="C83" s="6"/>
      <c r="D83" s="10" t="str">
        <f t="shared" si="6"/>
        <v/>
      </c>
      <c r="E83" s="6"/>
      <c r="F83" s="6"/>
      <c r="G83" s="10" t="str">
        <f t="shared" si="7"/>
        <v/>
      </c>
      <c r="H83" s="6"/>
      <c r="I83" s="6"/>
      <c r="J83" s="10" t="str">
        <f t="shared" si="8"/>
        <v/>
      </c>
      <c r="K83" s="7"/>
    </row>
    <row r="84" spans="1:11" x14ac:dyDescent="0.2">
      <c r="A84" s="8">
        <v>46349</v>
      </c>
      <c r="B84" s="6"/>
      <c r="C84" s="6"/>
      <c r="D84" s="10" t="str">
        <f t="shared" si="6"/>
        <v/>
      </c>
      <c r="E84" s="6"/>
      <c r="F84" s="6"/>
      <c r="G84" s="10" t="str">
        <f t="shared" si="7"/>
        <v/>
      </c>
      <c r="H84" s="6"/>
      <c r="I84" s="6"/>
      <c r="J84" s="10" t="str">
        <f t="shared" si="8"/>
        <v/>
      </c>
      <c r="K84" s="7"/>
    </row>
    <row r="85" spans="1:11" x14ac:dyDescent="0.2">
      <c r="A85" s="8">
        <v>46356</v>
      </c>
      <c r="B85" s="6"/>
      <c r="C85" s="6"/>
      <c r="D85" s="10" t="str">
        <f t="shared" si="6"/>
        <v/>
      </c>
      <c r="E85" s="6"/>
      <c r="F85" s="6"/>
      <c r="G85" s="10" t="str">
        <f t="shared" si="7"/>
        <v/>
      </c>
      <c r="H85" s="6"/>
      <c r="I85" s="6"/>
      <c r="J85" s="10" t="str">
        <f t="shared" si="8"/>
        <v/>
      </c>
      <c r="K85" s="7"/>
    </row>
    <row r="86" spans="1:11" x14ac:dyDescent="0.2">
      <c r="A86" s="8">
        <v>46363</v>
      </c>
      <c r="B86" s="6"/>
      <c r="C86" s="6"/>
      <c r="D86" s="10" t="str">
        <f t="shared" si="6"/>
        <v/>
      </c>
      <c r="E86" s="6"/>
      <c r="F86" s="6"/>
      <c r="G86" s="10" t="str">
        <f t="shared" si="7"/>
        <v/>
      </c>
      <c r="H86" s="6"/>
      <c r="I86" s="6"/>
      <c r="J86" s="10" t="str">
        <f t="shared" si="8"/>
        <v/>
      </c>
      <c r="K86" s="7"/>
    </row>
    <row r="87" spans="1:11" x14ac:dyDescent="0.2">
      <c r="A87" s="8">
        <v>46370</v>
      </c>
      <c r="B87" s="6"/>
      <c r="C87" s="6"/>
      <c r="D87" s="10" t="str">
        <f t="shared" si="6"/>
        <v/>
      </c>
      <c r="E87" s="6"/>
      <c r="F87" s="6"/>
      <c r="G87" s="10" t="str">
        <f t="shared" si="7"/>
        <v/>
      </c>
      <c r="H87" s="6"/>
      <c r="I87" s="6"/>
      <c r="J87" s="10" t="str">
        <f t="shared" si="8"/>
        <v/>
      </c>
      <c r="K87" s="7"/>
    </row>
    <row r="88" spans="1:11" x14ac:dyDescent="0.2">
      <c r="A88" s="8">
        <v>46377</v>
      </c>
      <c r="B88" s="6"/>
      <c r="C88" s="6"/>
      <c r="D88" s="10" t="str">
        <f t="shared" si="6"/>
        <v/>
      </c>
      <c r="E88" s="6"/>
      <c r="F88" s="6"/>
      <c r="G88" s="10" t="str">
        <f t="shared" si="7"/>
        <v/>
      </c>
      <c r="H88" s="6"/>
      <c r="I88" s="6"/>
      <c r="J88" s="10" t="str">
        <f t="shared" si="8"/>
        <v/>
      </c>
      <c r="K88" s="7"/>
    </row>
    <row r="89" spans="1:11" x14ac:dyDescent="0.2">
      <c r="A89" s="8">
        <v>46384</v>
      </c>
      <c r="B89" s="6"/>
      <c r="C89" s="6"/>
      <c r="D89" s="10" t="str">
        <f t="shared" si="6"/>
        <v/>
      </c>
      <c r="E89" s="6"/>
      <c r="F89" s="6"/>
      <c r="G89" s="10" t="str">
        <f t="shared" si="7"/>
        <v/>
      </c>
      <c r="H89" s="6"/>
      <c r="I89" s="6"/>
      <c r="J89" s="10" t="str">
        <f t="shared" si="8"/>
        <v/>
      </c>
      <c r="K89" s="7"/>
    </row>
    <row r="90" spans="1:11" x14ac:dyDescent="0.2">
      <c r="A90" s="8">
        <v>46391</v>
      </c>
      <c r="B90" s="6"/>
      <c r="C90" s="6"/>
      <c r="D90" s="10" t="str">
        <f t="shared" si="6"/>
        <v/>
      </c>
      <c r="E90" s="6"/>
      <c r="F90" s="6"/>
      <c r="G90" s="10" t="str">
        <f t="shared" si="7"/>
        <v/>
      </c>
      <c r="H90" s="6"/>
      <c r="I90" s="6"/>
      <c r="J90" s="10" t="str">
        <f t="shared" si="8"/>
        <v/>
      </c>
      <c r="K90" s="7"/>
    </row>
    <row r="91" spans="1:11" x14ac:dyDescent="0.2">
      <c r="A91" s="8">
        <v>46398</v>
      </c>
      <c r="B91" s="6"/>
      <c r="C91" s="6"/>
      <c r="D91" s="10" t="str">
        <f t="shared" si="6"/>
        <v/>
      </c>
      <c r="E91" s="6"/>
      <c r="F91" s="6"/>
      <c r="G91" s="10" t="str">
        <f t="shared" si="7"/>
        <v/>
      </c>
      <c r="H91" s="6"/>
      <c r="I91" s="6"/>
      <c r="J91" s="10" t="str">
        <f t="shared" si="8"/>
        <v/>
      </c>
      <c r="K91" s="7"/>
    </row>
    <row r="92" spans="1:11" x14ac:dyDescent="0.2">
      <c r="A92" s="8">
        <v>46405</v>
      </c>
      <c r="B92" s="6"/>
      <c r="C92" s="6"/>
      <c r="D92" s="10" t="str">
        <f t="shared" si="6"/>
        <v/>
      </c>
      <c r="E92" s="6"/>
      <c r="F92" s="6"/>
      <c r="G92" s="10" t="str">
        <f t="shared" si="7"/>
        <v/>
      </c>
      <c r="H92" s="6"/>
      <c r="I92" s="6"/>
      <c r="J92" s="10" t="str">
        <f t="shared" si="8"/>
        <v/>
      </c>
      <c r="K92" s="7"/>
    </row>
    <row r="93" spans="1:11" x14ac:dyDescent="0.2">
      <c r="A93" s="8">
        <v>46412</v>
      </c>
      <c r="B93" s="6"/>
      <c r="C93" s="6"/>
      <c r="D93" s="10" t="str">
        <f t="shared" si="6"/>
        <v/>
      </c>
      <c r="E93" s="6"/>
      <c r="F93" s="6"/>
      <c r="G93" s="10" t="str">
        <f t="shared" si="7"/>
        <v/>
      </c>
      <c r="H93" s="6"/>
      <c r="I93" s="6"/>
      <c r="J93" s="10" t="str">
        <f t="shared" si="8"/>
        <v/>
      </c>
      <c r="K93" s="7"/>
    </row>
    <row r="94" spans="1:11" x14ac:dyDescent="0.2">
      <c r="A94" s="8">
        <v>46419</v>
      </c>
      <c r="B94" s="6"/>
      <c r="C94" s="6"/>
      <c r="D94" s="10" t="str">
        <f t="shared" si="6"/>
        <v/>
      </c>
      <c r="E94" s="6"/>
      <c r="F94" s="6"/>
      <c r="G94" s="10" t="str">
        <f t="shared" si="7"/>
        <v/>
      </c>
      <c r="H94" s="6"/>
      <c r="I94" s="6"/>
      <c r="J94" s="10" t="str">
        <f t="shared" si="8"/>
        <v/>
      </c>
      <c r="K94" s="7"/>
    </row>
    <row r="95" spans="1:11" x14ac:dyDescent="0.2">
      <c r="A95" s="8">
        <v>46426</v>
      </c>
      <c r="B95" s="6"/>
      <c r="C95" s="6"/>
      <c r="D95" s="10" t="str">
        <f t="shared" si="6"/>
        <v/>
      </c>
      <c r="E95" s="6"/>
      <c r="F95" s="6"/>
      <c r="G95" s="10" t="str">
        <f t="shared" si="7"/>
        <v/>
      </c>
      <c r="H95" s="6"/>
      <c r="I95" s="6"/>
      <c r="J95" s="10" t="str">
        <f t="shared" si="8"/>
        <v/>
      </c>
      <c r="K95" s="7"/>
    </row>
    <row r="96" spans="1:11" x14ac:dyDescent="0.2">
      <c r="A96" s="8">
        <v>46433</v>
      </c>
      <c r="B96" s="6"/>
      <c r="C96" s="6"/>
      <c r="D96" s="10" t="str">
        <f t="shared" si="6"/>
        <v/>
      </c>
      <c r="E96" s="6"/>
      <c r="F96" s="6"/>
      <c r="G96" s="10" t="str">
        <f t="shared" si="7"/>
        <v/>
      </c>
      <c r="H96" s="6"/>
      <c r="I96" s="6"/>
      <c r="J96" s="10" t="str">
        <f t="shared" si="8"/>
        <v/>
      </c>
      <c r="K96" s="7"/>
    </row>
    <row r="97" spans="1:11" x14ac:dyDescent="0.2">
      <c r="A97" s="8">
        <v>46440</v>
      </c>
      <c r="B97" s="6"/>
      <c r="C97" s="6"/>
      <c r="D97" s="10" t="str">
        <f t="shared" si="6"/>
        <v/>
      </c>
      <c r="E97" s="6"/>
      <c r="F97" s="6"/>
      <c r="G97" s="10" t="str">
        <f t="shared" si="7"/>
        <v/>
      </c>
      <c r="H97" s="6"/>
      <c r="I97" s="6"/>
      <c r="J97" s="10" t="str">
        <f t="shared" si="8"/>
        <v/>
      </c>
      <c r="K97" s="7"/>
    </row>
    <row r="98" spans="1:11" x14ac:dyDescent="0.2">
      <c r="A98" s="8">
        <v>46447</v>
      </c>
      <c r="B98" s="6"/>
      <c r="C98" s="6"/>
      <c r="D98" s="10" t="str">
        <f t="shared" ref="D98:D111" si="9">IF(SUM(B98:C98)=0,"",B98/SUM(B98:C98))</f>
        <v/>
      </c>
      <c r="E98" s="6"/>
      <c r="F98" s="6"/>
      <c r="G98" s="10" t="str">
        <f t="shared" ref="G98:G111" si="10">IF(SUM(E98:F98)=0,"",E98/SUM(E98:F98))</f>
        <v/>
      </c>
      <c r="H98" s="6"/>
      <c r="I98" s="6"/>
      <c r="J98" s="10" t="str">
        <f t="shared" ref="J98:J111" si="11">IF(SUM(H98:I98)=0,"",H98/SUM(H98:I98))</f>
        <v/>
      </c>
      <c r="K98" s="7"/>
    </row>
    <row r="99" spans="1:11" x14ac:dyDescent="0.2">
      <c r="A99" s="8">
        <v>46454</v>
      </c>
      <c r="B99" s="6"/>
      <c r="C99" s="6"/>
      <c r="D99" s="10" t="str">
        <f t="shared" si="9"/>
        <v/>
      </c>
      <c r="E99" s="6"/>
      <c r="F99" s="6"/>
      <c r="G99" s="10" t="str">
        <f t="shared" si="10"/>
        <v/>
      </c>
      <c r="H99" s="6"/>
      <c r="I99" s="6"/>
      <c r="J99" s="10" t="str">
        <f t="shared" si="11"/>
        <v/>
      </c>
      <c r="K99" s="7"/>
    </row>
    <row r="100" spans="1:11" x14ac:dyDescent="0.2">
      <c r="A100" s="8">
        <v>46461</v>
      </c>
      <c r="B100" s="6"/>
      <c r="C100" s="6"/>
      <c r="D100" s="10" t="str">
        <f t="shared" si="9"/>
        <v/>
      </c>
      <c r="E100" s="6"/>
      <c r="F100" s="6"/>
      <c r="G100" s="10" t="str">
        <f t="shared" si="10"/>
        <v/>
      </c>
      <c r="H100" s="6"/>
      <c r="I100" s="6"/>
      <c r="J100" s="10" t="str">
        <f t="shared" si="11"/>
        <v/>
      </c>
      <c r="K100" s="7"/>
    </row>
    <row r="101" spans="1:11" x14ac:dyDescent="0.2">
      <c r="A101" s="8">
        <v>46468</v>
      </c>
      <c r="B101" s="6"/>
      <c r="C101" s="6"/>
      <c r="D101" s="10" t="str">
        <f t="shared" si="9"/>
        <v/>
      </c>
      <c r="E101" s="6"/>
      <c r="F101" s="6"/>
      <c r="G101" s="10" t="str">
        <f t="shared" si="10"/>
        <v/>
      </c>
      <c r="H101" s="6"/>
      <c r="I101" s="6"/>
      <c r="J101" s="10" t="str">
        <f t="shared" si="11"/>
        <v/>
      </c>
      <c r="K101" s="7"/>
    </row>
    <row r="102" spans="1:11" x14ac:dyDescent="0.2">
      <c r="A102" s="8">
        <v>46475</v>
      </c>
      <c r="B102" s="6"/>
      <c r="C102" s="6"/>
      <c r="D102" s="10" t="str">
        <f t="shared" si="9"/>
        <v/>
      </c>
      <c r="E102" s="6"/>
      <c r="F102" s="6"/>
      <c r="G102" s="10" t="str">
        <f t="shared" si="10"/>
        <v/>
      </c>
      <c r="H102" s="6"/>
      <c r="I102" s="6"/>
      <c r="J102" s="10" t="str">
        <f t="shared" si="11"/>
        <v/>
      </c>
      <c r="K102" s="7"/>
    </row>
    <row r="103" spans="1:11" x14ac:dyDescent="0.2">
      <c r="A103" s="8">
        <v>46482</v>
      </c>
      <c r="B103" s="6"/>
      <c r="C103" s="6"/>
      <c r="D103" s="10" t="str">
        <f t="shared" si="9"/>
        <v/>
      </c>
      <c r="E103" s="6"/>
      <c r="F103" s="6"/>
      <c r="G103" s="10" t="str">
        <f t="shared" si="10"/>
        <v/>
      </c>
      <c r="H103" s="6"/>
      <c r="I103" s="6"/>
      <c r="J103" s="10" t="str">
        <f t="shared" si="11"/>
        <v/>
      </c>
      <c r="K103" s="7"/>
    </row>
    <row r="104" spans="1:11" x14ac:dyDescent="0.2">
      <c r="A104" s="8">
        <v>46489</v>
      </c>
      <c r="B104" s="6"/>
      <c r="C104" s="6"/>
      <c r="D104" s="10" t="str">
        <f t="shared" si="9"/>
        <v/>
      </c>
      <c r="E104" s="6"/>
      <c r="F104" s="6"/>
      <c r="G104" s="10" t="str">
        <f t="shared" si="10"/>
        <v/>
      </c>
      <c r="H104" s="6"/>
      <c r="I104" s="6"/>
      <c r="J104" s="10" t="str">
        <f t="shared" si="11"/>
        <v/>
      </c>
      <c r="K104" s="7"/>
    </row>
    <row r="105" spans="1:11" x14ac:dyDescent="0.2">
      <c r="A105" s="8">
        <v>46496</v>
      </c>
      <c r="B105" s="6"/>
      <c r="C105" s="6"/>
      <c r="D105" s="10" t="str">
        <f t="shared" si="9"/>
        <v/>
      </c>
      <c r="E105" s="6"/>
      <c r="F105" s="6"/>
      <c r="G105" s="10" t="str">
        <f t="shared" si="10"/>
        <v/>
      </c>
      <c r="H105" s="6"/>
      <c r="I105" s="6"/>
      <c r="J105" s="10" t="str">
        <f t="shared" si="11"/>
        <v/>
      </c>
      <c r="K105" s="7"/>
    </row>
    <row r="106" spans="1:11" x14ac:dyDescent="0.2">
      <c r="A106" s="8">
        <v>46503</v>
      </c>
      <c r="B106" s="6"/>
      <c r="C106" s="6"/>
      <c r="D106" s="10" t="str">
        <f t="shared" si="9"/>
        <v/>
      </c>
      <c r="E106" s="6"/>
      <c r="F106" s="6"/>
      <c r="G106" s="10" t="str">
        <f t="shared" si="10"/>
        <v/>
      </c>
      <c r="H106" s="6"/>
      <c r="I106" s="6"/>
      <c r="J106" s="10" t="str">
        <f t="shared" si="11"/>
        <v/>
      </c>
      <c r="K106" s="7"/>
    </row>
    <row r="107" spans="1:11" x14ac:dyDescent="0.2">
      <c r="A107" s="8">
        <v>46510</v>
      </c>
      <c r="B107" s="6"/>
      <c r="C107" s="6"/>
      <c r="D107" s="10" t="str">
        <f t="shared" si="9"/>
        <v/>
      </c>
      <c r="E107" s="6"/>
      <c r="F107" s="6"/>
      <c r="G107" s="10" t="str">
        <f t="shared" si="10"/>
        <v/>
      </c>
      <c r="H107" s="6"/>
      <c r="I107" s="6"/>
      <c r="J107" s="10" t="str">
        <f t="shared" si="11"/>
        <v/>
      </c>
      <c r="K107" s="7"/>
    </row>
    <row r="108" spans="1:11" x14ac:dyDescent="0.2">
      <c r="A108" s="8">
        <v>46517</v>
      </c>
      <c r="B108" s="6"/>
      <c r="C108" s="6"/>
      <c r="D108" s="10" t="str">
        <f t="shared" si="9"/>
        <v/>
      </c>
      <c r="E108" s="6"/>
      <c r="F108" s="6"/>
      <c r="G108" s="10" t="str">
        <f t="shared" si="10"/>
        <v/>
      </c>
      <c r="H108" s="6"/>
      <c r="I108" s="6"/>
      <c r="J108" s="10" t="str">
        <f t="shared" si="11"/>
        <v/>
      </c>
      <c r="K108" s="7"/>
    </row>
    <row r="109" spans="1:11" x14ac:dyDescent="0.2">
      <c r="A109" s="8">
        <v>46524</v>
      </c>
      <c r="B109" s="6"/>
      <c r="C109" s="6"/>
      <c r="D109" s="10" t="str">
        <f t="shared" si="9"/>
        <v/>
      </c>
      <c r="E109" s="6"/>
      <c r="F109" s="6"/>
      <c r="G109" s="10" t="str">
        <f t="shared" si="10"/>
        <v/>
      </c>
      <c r="H109" s="6"/>
      <c r="I109" s="6"/>
      <c r="J109" s="10" t="str">
        <f t="shared" si="11"/>
        <v/>
      </c>
      <c r="K109" s="7"/>
    </row>
    <row r="110" spans="1:11" x14ac:dyDescent="0.2">
      <c r="A110" s="8">
        <v>46531</v>
      </c>
      <c r="B110" s="6"/>
      <c r="C110" s="6"/>
      <c r="D110" s="10" t="str">
        <f t="shared" si="9"/>
        <v/>
      </c>
      <c r="E110" s="6"/>
      <c r="F110" s="6"/>
      <c r="G110" s="10" t="str">
        <f t="shared" si="10"/>
        <v/>
      </c>
      <c r="H110" s="6"/>
      <c r="I110" s="6"/>
      <c r="J110" s="10" t="str">
        <f t="shared" si="11"/>
        <v/>
      </c>
      <c r="K110" s="7"/>
    </row>
    <row r="111" spans="1:11" x14ac:dyDescent="0.2">
      <c r="A111" s="8">
        <v>46538</v>
      </c>
      <c r="B111" s="6"/>
      <c r="C111" s="6"/>
      <c r="D111" s="10" t="str">
        <f t="shared" si="9"/>
        <v/>
      </c>
      <c r="E111" s="6"/>
      <c r="F111" s="6"/>
      <c r="G111" s="10" t="str">
        <f t="shared" si="10"/>
        <v/>
      </c>
      <c r="H111" s="6"/>
      <c r="I111" s="6"/>
      <c r="J111" s="10" t="str">
        <f t="shared" si="11"/>
        <v/>
      </c>
      <c r="K111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1"/>
  <sheetViews>
    <sheetView topLeftCell="A52" zoomScaleNormal="100" workbookViewId="0">
      <selection activeCell="G119" sqref="G119"/>
    </sheetView>
  </sheetViews>
  <sheetFormatPr baseColWidth="10" defaultColWidth="8.6640625" defaultRowHeight="15" x14ac:dyDescent="0.2"/>
  <cols>
    <col min="1" max="1" width="11" customWidth="1"/>
    <col min="2" max="6" width="10" customWidth="1"/>
    <col min="7" max="7" width="26" customWidth="1"/>
  </cols>
  <sheetData>
    <row r="1" spans="1:7" x14ac:dyDescent="0.2">
      <c r="A1" s="12" t="s">
        <v>72</v>
      </c>
    </row>
    <row r="3" spans="1:7" x14ac:dyDescent="0.2">
      <c r="A3" s="13" t="s">
        <v>73</v>
      </c>
    </row>
    <row r="4" spans="1:7" ht="31.5" customHeight="1" x14ac:dyDescent="0.2">
      <c r="A4" s="4" t="s">
        <v>57</v>
      </c>
      <c r="B4" s="4" t="s">
        <v>74</v>
      </c>
      <c r="C4" s="4" t="s">
        <v>75</v>
      </c>
      <c r="D4" s="4" t="s">
        <v>76</v>
      </c>
      <c r="E4" s="4" t="s">
        <v>77</v>
      </c>
      <c r="F4" s="4" t="s">
        <v>23</v>
      </c>
      <c r="G4" s="4" t="s">
        <v>78</v>
      </c>
    </row>
    <row r="5" spans="1:7" x14ac:dyDescent="0.2">
      <c r="A5" s="5">
        <v>36</v>
      </c>
      <c r="B5" s="5" t="str">
        <f>IF(COUNTIFS(Weekly_Local!$U:$U,"2022-23",Weekly_Local!$T:$T,$A5,Weekly_Local!$B:$B,"&lt;&gt;")=0,"",SUMIFS(Weekly_Local!$B:$B,Weekly_Local!$U:$U,"2022-23",Weekly_Local!$T:$T,$A5))</f>
        <v/>
      </c>
      <c r="C5" s="5">
        <f>IF(COUNTIFS(Weekly_Local!$U:$U,"2023-24",Weekly_Local!$T:$T,$A5,Weekly_Local!$B:$B,"&lt;&gt;")=0,"",SUMIFS(Weekly_Local!$B:$B,Weekly_Local!$U:$U,"2023-24",Weekly_Local!$T:$T,$A5))</f>
        <v>18</v>
      </c>
      <c r="D5" s="5">
        <f>IF(COUNTIFS(Weekly_Local!$U:$U,"2024-25",Weekly_Local!$T:$T,$A5,Weekly_Local!$B:$B,"&lt;&gt;")=0,"",SUMIFS(Weekly_Local!$B:$B,Weekly_Local!$U:$U,"2024-25",Weekly_Local!$T:$T,$A5))</f>
        <v>6</v>
      </c>
      <c r="E5" s="5">
        <f>IF(COUNTIFS(Weekly_Local!$U:$U,"2025-26",Weekly_Local!$T:$T,$A5,Weekly_Local!$B:$B,"&lt;&gt;")=0,"",SUMIFS(Weekly_Local!$B:$B,Weekly_Local!$U:$U,"2025-26",Weekly_Local!$T:$T,$A5))</f>
        <v>3</v>
      </c>
      <c r="F5" s="5">
        <v>4</v>
      </c>
      <c r="G5" s="5" t="str">
        <f>IF(AND($A5=53,DATE(YEAR(Config!$B$3),1,4)-WEEKDAY(DATE(YEAR(Config!$B$3),1,4))+1+364&gt;=DATE(YEAR(Config!$B$3)+1,1,4)-WEEKDAY(DATE(YEAR(Config!$B$3)+1,1,4))+1),"",TEXT(DATE(YEAR(Config!$B$3)+IF($A5&gt;=36,0,1),1,4)-WEEKDAY(DATE(YEAR(Config!$B$3)+IF($A5&gt;=36,0,1),1,4))+1+7*($A5-1)+1,"m/d/yy")&amp;" – "&amp;TEXT(DATE(YEAR(Config!$B$3)+IF($A5&gt;=36,0,1),1,4)-WEEKDAY(DATE(YEAR(Config!$B$3)+IF($A5&gt;=36,0,1),1,4))+1+7*($A5-1)+7,"m/d/yy"))</f>
        <v>9/7/26 – 9/13/26</v>
      </c>
    </row>
    <row r="6" spans="1:7" x14ac:dyDescent="0.2">
      <c r="A6" s="5">
        <v>37</v>
      </c>
      <c r="B6" s="5" t="str">
        <f>IF(COUNTIFS(Weekly_Local!$U:$U,"2022-23",Weekly_Local!$T:$T,$A6,Weekly_Local!$B:$B,"&lt;&gt;")=0,"",SUMIFS(Weekly_Local!$B:$B,Weekly_Local!$U:$U,"2022-23",Weekly_Local!$T:$T,$A6))</f>
        <v/>
      </c>
      <c r="C6" s="5">
        <f>IF(COUNTIFS(Weekly_Local!$U:$U,"2023-24",Weekly_Local!$T:$T,$A6,Weekly_Local!$B:$B,"&lt;&gt;")=0,"",SUMIFS(Weekly_Local!$B:$B,Weekly_Local!$U:$U,"2023-24",Weekly_Local!$T:$T,$A6))</f>
        <v>5</v>
      </c>
      <c r="D6" s="5">
        <f>IF(COUNTIFS(Weekly_Local!$U:$U,"2024-25",Weekly_Local!$T:$T,$A6,Weekly_Local!$B:$B,"&lt;&gt;")=0,"",SUMIFS(Weekly_Local!$B:$B,Weekly_Local!$U:$U,"2024-25",Weekly_Local!$T:$T,$A6))</f>
        <v>3</v>
      </c>
      <c r="E6" s="5">
        <f>IF(COUNTIFS(Weekly_Local!$U:$U,"2025-26",Weekly_Local!$T:$T,$A6,Weekly_Local!$B:$B,"&lt;&gt;")=0,"",SUMIFS(Weekly_Local!$B:$B,Weekly_Local!$U:$U,"2025-26",Weekly_Local!$T:$T,$A6))</f>
        <v>3</v>
      </c>
      <c r="F6" s="5">
        <f>IF(COUNTIFS(Weekly_Local!$U:$U,"2026-27",Weekly_Local!$T:$T,$A6,Weekly_Local!$B:$B,"&lt;&gt;")=0,"",SUMIFS(Weekly_Local!$B:$B,Weekly_Local!$U:$U,"2026-27",Weekly_Local!$T:$T,$A6))</f>
        <v>5</v>
      </c>
      <c r="G6" s="5" t="str">
        <f>IF(AND($A6=53,DATE(YEAR(Config!$B$3),1,4)-WEEKDAY(DATE(YEAR(Config!$B$3),1,4))+1+364&gt;=DATE(YEAR(Config!$B$3)+1,1,4)-WEEKDAY(DATE(YEAR(Config!$B$3)+1,1,4))+1),"",TEXT(DATE(YEAR(Config!$B$3)+IF($A6&gt;=36,0,1),1,4)-WEEKDAY(DATE(YEAR(Config!$B$3)+IF($A6&gt;=36,0,1),1,4))+1+7*($A6-1)+1,"m/d/yy")&amp;" – "&amp;TEXT(DATE(YEAR(Config!$B$3)+IF($A6&gt;=36,0,1),1,4)-WEEKDAY(DATE(YEAR(Config!$B$3)+IF($A6&gt;=36,0,1),1,4))+1+7*($A6-1)+7,"m/d/yy"))</f>
        <v>9/14/26 – 9/20/26</v>
      </c>
    </row>
    <row r="7" spans="1:7" x14ac:dyDescent="0.2">
      <c r="A7" s="5">
        <v>38</v>
      </c>
      <c r="B7" s="5" t="str">
        <f>IF(COUNTIFS(Weekly_Local!$U:$U,"2022-23",Weekly_Local!$T:$T,$A7,Weekly_Local!$B:$B,"&lt;&gt;")=0,"",SUMIFS(Weekly_Local!$B:$B,Weekly_Local!$U:$U,"2022-23",Weekly_Local!$T:$T,$A7))</f>
        <v/>
      </c>
      <c r="C7" s="5">
        <f>IF(COUNTIFS(Weekly_Local!$U:$U,"2023-24",Weekly_Local!$T:$T,$A7,Weekly_Local!$B:$B,"&lt;&gt;")=0,"",SUMIFS(Weekly_Local!$B:$B,Weekly_Local!$U:$U,"2023-24",Weekly_Local!$T:$T,$A7))</f>
        <v>6</v>
      </c>
      <c r="D7" s="5">
        <f>IF(COUNTIFS(Weekly_Local!$U:$U,"2024-25",Weekly_Local!$T:$T,$A7,Weekly_Local!$B:$B,"&lt;&gt;")=0,"",SUMIFS(Weekly_Local!$B:$B,Weekly_Local!$U:$U,"2024-25",Weekly_Local!$T:$T,$A7))</f>
        <v>5</v>
      </c>
      <c r="E7" s="5">
        <f>IF(COUNTIFS(Weekly_Local!$U:$U,"2025-26",Weekly_Local!$T:$T,$A7,Weekly_Local!$B:$B,"&lt;&gt;")=0,"",SUMIFS(Weekly_Local!$B:$B,Weekly_Local!$U:$U,"2025-26",Weekly_Local!$T:$T,$A7))</f>
        <v>3</v>
      </c>
      <c r="F7" s="5">
        <f>IF(COUNTIFS(Weekly_Local!$U:$U,"2026-27",Weekly_Local!$T:$T,$A7,Weekly_Local!$B:$B,"&lt;&gt;")=0,"",SUMIFS(Weekly_Local!$B:$B,Weekly_Local!$U:$U,"2026-27",Weekly_Local!$T:$T,$A7))</f>
        <v>4</v>
      </c>
      <c r="G7" s="5" t="str">
        <f>IF(AND($A7=53,DATE(YEAR(Config!$B$3),1,4)-WEEKDAY(DATE(YEAR(Config!$B$3),1,4))+1+364&gt;=DATE(YEAR(Config!$B$3)+1,1,4)-WEEKDAY(DATE(YEAR(Config!$B$3)+1,1,4))+1),"",TEXT(DATE(YEAR(Config!$B$3)+IF($A7&gt;=36,0,1),1,4)-WEEKDAY(DATE(YEAR(Config!$B$3)+IF($A7&gt;=36,0,1),1,4))+1+7*($A7-1)+1,"m/d/yy")&amp;" – "&amp;TEXT(DATE(YEAR(Config!$B$3)+IF($A7&gt;=36,0,1),1,4)-WEEKDAY(DATE(YEAR(Config!$B$3)+IF($A7&gt;=36,0,1),1,4))+1+7*($A7-1)+7,"m/d/yy"))</f>
        <v>9/21/26 – 9/27/26</v>
      </c>
    </row>
    <row r="8" spans="1:7" x14ac:dyDescent="0.2">
      <c r="A8" s="5">
        <v>39</v>
      </c>
      <c r="B8" s="5" t="str">
        <f>IF(COUNTIFS(Weekly_Local!$U:$U,"2022-23",Weekly_Local!$T:$T,$A8,Weekly_Local!$B:$B,"&lt;&gt;")=0,"",SUMIFS(Weekly_Local!$B:$B,Weekly_Local!$U:$U,"2022-23",Weekly_Local!$T:$T,$A8))</f>
        <v/>
      </c>
      <c r="C8" s="5">
        <f>IF(COUNTIFS(Weekly_Local!$U:$U,"2023-24",Weekly_Local!$T:$T,$A8,Weekly_Local!$B:$B,"&lt;&gt;")=0,"",SUMIFS(Weekly_Local!$B:$B,Weekly_Local!$U:$U,"2023-24",Weekly_Local!$T:$T,$A8))</f>
        <v>5</v>
      </c>
      <c r="D8" s="5">
        <f>IF(COUNTIFS(Weekly_Local!$U:$U,"2024-25",Weekly_Local!$T:$T,$A8,Weekly_Local!$B:$B,"&lt;&gt;")=0,"",SUMIFS(Weekly_Local!$B:$B,Weekly_Local!$U:$U,"2024-25",Weekly_Local!$T:$T,$A8))</f>
        <v>8</v>
      </c>
      <c r="E8" s="5">
        <f>IF(COUNTIFS(Weekly_Local!$U:$U,"2025-26",Weekly_Local!$T:$T,$A8,Weekly_Local!$B:$B,"&lt;&gt;")=0,"",SUMIFS(Weekly_Local!$B:$B,Weekly_Local!$U:$U,"2025-26",Weekly_Local!$T:$T,$A8))</f>
        <v>1</v>
      </c>
      <c r="F8" s="5">
        <f>IF(COUNTIFS(Weekly_Local!$U:$U,"2026-27",Weekly_Local!$T:$T,$A8,Weekly_Local!$B:$B,"&lt;&gt;")=0,"",SUMIFS(Weekly_Local!$B:$B,Weekly_Local!$U:$U,"2026-27",Weekly_Local!$T:$T,$A8))</f>
        <v>4</v>
      </c>
      <c r="G8" s="5" t="str">
        <f>IF(AND($A8=53,DATE(YEAR(Config!$B$3),1,4)-WEEKDAY(DATE(YEAR(Config!$B$3),1,4))+1+364&gt;=DATE(YEAR(Config!$B$3)+1,1,4)-WEEKDAY(DATE(YEAR(Config!$B$3)+1,1,4))+1),"",TEXT(DATE(YEAR(Config!$B$3)+IF($A8&gt;=36,0,1),1,4)-WEEKDAY(DATE(YEAR(Config!$B$3)+IF($A8&gt;=36,0,1),1,4))+1+7*($A8-1)+1,"m/d/yy")&amp;" – "&amp;TEXT(DATE(YEAR(Config!$B$3)+IF($A8&gt;=36,0,1),1,4)-WEEKDAY(DATE(YEAR(Config!$B$3)+IF($A8&gt;=36,0,1),1,4))+1+7*($A8-1)+7,"m/d/yy"))</f>
        <v>9/28/26 – 10/4/26</v>
      </c>
    </row>
    <row r="9" spans="1:7" x14ac:dyDescent="0.2">
      <c r="A9" s="5">
        <v>40</v>
      </c>
      <c r="B9" s="5" t="str">
        <f>IF(COUNTIFS(Weekly_Local!$U:$U,"2022-23",Weekly_Local!$T:$T,$A9,Weekly_Local!$B:$B,"&lt;&gt;")=0,"",SUMIFS(Weekly_Local!$B:$B,Weekly_Local!$U:$U,"2022-23",Weekly_Local!$T:$T,$A9))</f>
        <v/>
      </c>
      <c r="C9" s="5">
        <f>IF(COUNTIFS(Weekly_Local!$U:$U,"2023-24",Weekly_Local!$T:$T,$A9,Weekly_Local!$B:$B,"&lt;&gt;")=0,"",SUMIFS(Weekly_Local!$B:$B,Weekly_Local!$U:$U,"2023-24",Weekly_Local!$T:$T,$A9))</f>
        <v>1</v>
      </c>
      <c r="D9" s="5">
        <f>IF(COUNTIFS(Weekly_Local!$U:$U,"2024-25",Weekly_Local!$T:$T,$A9,Weekly_Local!$B:$B,"&lt;&gt;")=0,"",SUMIFS(Weekly_Local!$B:$B,Weekly_Local!$U:$U,"2024-25",Weekly_Local!$T:$T,$A9))</f>
        <v>1</v>
      </c>
      <c r="E9" s="5">
        <f>IF(COUNTIFS(Weekly_Local!$U:$U,"2025-26",Weekly_Local!$T:$T,$A9,Weekly_Local!$B:$B,"&lt;&gt;")=0,"",SUMIFS(Weekly_Local!$B:$B,Weekly_Local!$U:$U,"2025-26",Weekly_Local!$T:$T,$A9))</f>
        <v>2</v>
      </c>
      <c r="F9" s="5" t="str">
        <f>IF(COUNTIFS(Weekly_Local!$U:$U,"2026-27",Weekly_Local!$T:$T,$A9,Weekly_Local!$B:$B,"&lt;&gt;")=0,"",SUMIFS(Weekly_Local!$B:$B,Weekly_Local!$U:$U,"2026-27",Weekly_Local!$T:$T,$A9))</f>
        <v/>
      </c>
      <c r="G9" s="5" t="str">
        <f>IF(AND($A9=53,DATE(YEAR(Config!$B$3),1,4)-WEEKDAY(DATE(YEAR(Config!$B$3),1,4))+1+364&gt;=DATE(YEAR(Config!$B$3)+1,1,4)-WEEKDAY(DATE(YEAR(Config!$B$3)+1,1,4))+1),"",TEXT(DATE(YEAR(Config!$B$3)+IF($A9&gt;=36,0,1),1,4)-WEEKDAY(DATE(YEAR(Config!$B$3)+IF($A9&gt;=36,0,1),1,4))+1+7*($A9-1)+1,"m/d/yy")&amp;" – "&amp;TEXT(DATE(YEAR(Config!$B$3)+IF($A9&gt;=36,0,1),1,4)-WEEKDAY(DATE(YEAR(Config!$B$3)+IF($A9&gt;=36,0,1),1,4))+1+7*($A9-1)+7,"m/d/yy"))</f>
        <v>10/5/26 – 10/11/26</v>
      </c>
    </row>
    <row r="10" spans="1:7" x14ac:dyDescent="0.2">
      <c r="A10" s="5">
        <v>41</v>
      </c>
      <c r="B10" s="5" t="str">
        <f>IF(COUNTIFS(Weekly_Local!$U:$U,"2022-23",Weekly_Local!$T:$T,$A10,Weekly_Local!$B:$B,"&lt;&gt;")=0,"",SUMIFS(Weekly_Local!$B:$B,Weekly_Local!$U:$U,"2022-23",Weekly_Local!$T:$T,$A10))</f>
        <v/>
      </c>
      <c r="C10" s="5">
        <f>IF(COUNTIFS(Weekly_Local!$U:$U,"2023-24",Weekly_Local!$T:$T,$A10,Weekly_Local!$B:$B,"&lt;&gt;")=0,"",SUMIFS(Weekly_Local!$B:$B,Weekly_Local!$U:$U,"2023-24",Weekly_Local!$T:$T,$A10))</f>
        <v>14</v>
      </c>
      <c r="D10" s="5">
        <f>IF(COUNTIFS(Weekly_Local!$U:$U,"2024-25",Weekly_Local!$T:$T,$A10,Weekly_Local!$B:$B,"&lt;&gt;")=0,"",SUMIFS(Weekly_Local!$B:$B,Weekly_Local!$U:$U,"2024-25",Weekly_Local!$T:$T,$A10))</f>
        <v>1</v>
      </c>
      <c r="E10" s="5">
        <f>IF(COUNTIFS(Weekly_Local!$U:$U,"2025-26",Weekly_Local!$T:$T,$A10,Weekly_Local!$B:$B,"&lt;&gt;")=0,"",SUMIFS(Weekly_Local!$B:$B,Weekly_Local!$U:$U,"2025-26",Weekly_Local!$T:$T,$A10))</f>
        <v>1</v>
      </c>
      <c r="F10" s="5" t="str">
        <f>IF(COUNTIFS(Weekly_Local!$U:$U,"2026-27",Weekly_Local!$T:$T,$A10,Weekly_Local!$B:$B,"&lt;&gt;")=0,"",SUMIFS(Weekly_Local!$B:$B,Weekly_Local!$U:$U,"2026-27",Weekly_Local!$T:$T,$A10))</f>
        <v/>
      </c>
      <c r="G10" s="5" t="str">
        <f>IF(AND($A10=53,DATE(YEAR(Config!$B$3),1,4)-WEEKDAY(DATE(YEAR(Config!$B$3),1,4))+1+364&gt;=DATE(YEAR(Config!$B$3)+1,1,4)-WEEKDAY(DATE(YEAR(Config!$B$3)+1,1,4))+1),"",TEXT(DATE(YEAR(Config!$B$3)+IF($A10&gt;=36,0,1),1,4)-WEEKDAY(DATE(YEAR(Config!$B$3)+IF($A10&gt;=36,0,1),1,4))+1+7*($A10-1)+1,"m/d/yy")&amp;" – "&amp;TEXT(DATE(YEAR(Config!$B$3)+IF($A10&gt;=36,0,1),1,4)-WEEKDAY(DATE(YEAR(Config!$B$3)+IF($A10&gt;=36,0,1),1,4))+1+7*($A10-1)+7,"m/d/yy"))</f>
        <v>10/12/26 – 10/18/26</v>
      </c>
    </row>
    <row r="11" spans="1:7" x14ac:dyDescent="0.2">
      <c r="A11" s="5">
        <v>42</v>
      </c>
      <c r="B11" s="5" t="str">
        <f>IF(COUNTIFS(Weekly_Local!$U:$U,"2022-23",Weekly_Local!$T:$T,$A11,Weekly_Local!$B:$B,"&lt;&gt;")=0,"",SUMIFS(Weekly_Local!$B:$B,Weekly_Local!$U:$U,"2022-23",Weekly_Local!$T:$T,$A11))</f>
        <v/>
      </c>
      <c r="C11" s="5">
        <f>IF(COUNTIFS(Weekly_Local!$U:$U,"2023-24",Weekly_Local!$T:$T,$A11,Weekly_Local!$B:$B,"&lt;&gt;")=0,"",SUMIFS(Weekly_Local!$B:$B,Weekly_Local!$U:$U,"2023-24",Weekly_Local!$T:$T,$A11))</f>
        <v>7</v>
      </c>
      <c r="D11" s="5">
        <f>IF(COUNTIFS(Weekly_Local!$U:$U,"2024-25",Weekly_Local!$T:$T,$A11,Weekly_Local!$B:$B,"&lt;&gt;")=0,"",SUMIFS(Weekly_Local!$B:$B,Weekly_Local!$U:$U,"2024-25",Weekly_Local!$T:$T,$A11))</f>
        <v>2</v>
      </c>
      <c r="E11" s="5">
        <f>IF(COUNTIFS(Weekly_Local!$U:$U,"2025-26",Weekly_Local!$T:$T,$A11,Weekly_Local!$B:$B,"&lt;&gt;")=0,"",SUMIFS(Weekly_Local!$B:$B,Weekly_Local!$U:$U,"2025-26",Weekly_Local!$T:$T,$A11))</f>
        <v>0</v>
      </c>
      <c r="F11" s="5" t="str">
        <f>IF(COUNTIFS(Weekly_Local!$U:$U,"2026-27",Weekly_Local!$T:$T,$A11,Weekly_Local!$B:$B,"&lt;&gt;")=0,"",SUMIFS(Weekly_Local!$B:$B,Weekly_Local!$U:$U,"2026-27",Weekly_Local!$T:$T,$A11))</f>
        <v/>
      </c>
      <c r="G11" s="5" t="str">
        <f>IF(AND($A11=53,DATE(YEAR(Config!$B$3),1,4)-WEEKDAY(DATE(YEAR(Config!$B$3),1,4))+1+364&gt;=DATE(YEAR(Config!$B$3)+1,1,4)-WEEKDAY(DATE(YEAR(Config!$B$3)+1,1,4))+1),"",TEXT(DATE(YEAR(Config!$B$3)+IF($A11&gt;=36,0,1),1,4)-WEEKDAY(DATE(YEAR(Config!$B$3)+IF($A11&gt;=36,0,1),1,4))+1+7*($A11-1)+1,"m/d/yy")&amp;" – "&amp;TEXT(DATE(YEAR(Config!$B$3)+IF($A11&gt;=36,0,1),1,4)-WEEKDAY(DATE(YEAR(Config!$B$3)+IF($A11&gt;=36,0,1),1,4))+1+7*($A11-1)+7,"m/d/yy"))</f>
        <v>10/19/26 – 10/25/26</v>
      </c>
    </row>
    <row r="12" spans="1:7" x14ac:dyDescent="0.2">
      <c r="A12" s="5">
        <v>43</v>
      </c>
      <c r="B12" s="5" t="str">
        <f>IF(COUNTIFS(Weekly_Local!$U:$U,"2022-23",Weekly_Local!$T:$T,$A12,Weekly_Local!$B:$B,"&lt;&gt;")=0,"",SUMIFS(Weekly_Local!$B:$B,Weekly_Local!$U:$U,"2022-23",Weekly_Local!$T:$T,$A12))</f>
        <v/>
      </c>
      <c r="C12" s="5">
        <f>IF(COUNTIFS(Weekly_Local!$U:$U,"2023-24",Weekly_Local!$T:$T,$A12,Weekly_Local!$B:$B,"&lt;&gt;")=0,"",SUMIFS(Weekly_Local!$B:$B,Weekly_Local!$U:$U,"2023-24",Weekly_Local!$T:$T,$A12))</f>
        <v>0</v>
      </c>
      <c r="D12" s="5">
        <f>IF(COUNTIFS(Weekly_Local!$U:$U,"2024-25",Weekly_Local!$T:$T,$A12,Weekly_Local!$B:$B,"&lt;&gt;")=0,"",SUMIFS(Weekly_Local!$B:$B,Weekly_Local!$U:$U,"2024-25",Weekly_Local!$T:$T,$A12))</f>
        <v>3</v>
      </c>
      <c r="E12" s="5">
        <f>IF(COUNTIFS(Weekly_Local!$U:$U,"2025-26",Weekly_Local!$T:$T,$A12,Weekly_Local!$B:$B,"&lt;&gt;")=0,"",SUMIFS(Weekly_Local!$B:$B,Weekly_Local!$U:$U,"2025-26",Weekly_Local!$T:$T,$A12))</f>
        <v>0</v>
      </c>
      <c r="F12" s="5" t="str">
        <f>IF(COUNTIFS(Weekly_Local!$U:$U,"2026-27",Weekly_Local!$T:$T,$A12,Weekly_Local!$B:$B,"&lt;&gt;")=0,"",SUMIFS(Weekly_Local!$B:$B,Weekly_Local!$U:$U,"2026-27",Weekly_Local!$T:$T,$A12))</f>
        <v/>
      </c>
      <c r="G12" s="5" t="str">
        <f>IF(AND($A12=53,DATE(YEAR(Config!$B$3),1,4)-WEEKDAY(DATE(YEAR(Config!$B$3),1,4))+1+364&gt;=DATE(YEAR(Config!$B$3)+1,1,4)-WEEKDAY(DATE(YEAR(Config!$B$3)+1,1,4))+1),"",TEXT(DATE(YEAR(Config!$B$3)+IF($A12&gt;=36,0,1),1,4)-WEEKDAY(DATE(YEAR(Config!$B$3)+IF($A12&gt;=36,0,1),1,4))+1+7*($A12-1)+1,"m/d/yy")&amp;" – "&amp;TEXT(DATE(YEAR(Config!$B$3)+IF($A12&gt;=36,0,1),1,4)-WEEKDAY(DATE(YEAR(Config!$B$3)+IF($A12&gt;=36,0,1),1,4))+1+7*($A12-1)+7,"m/d/yy"))</f>
        <v>10/26/26 – 11/1/26</v>
      </c>
    </row>
    <row r="13" spans="1:7" x14ac:dyDescent="0.2">
      <c r="A13" s="5">
        <v>44</v>
      </c>
      <c r="B13" s="5" t="str">
        <f>IF(COUNTIFS(Weekly_Local!$U:$U,"2022-23",Weekly_Local!$T:$T,$A13,Weekly_Local!$B:$B,"&lt;&gt;")=0,"",SUMIFS(Weekly_Local!$B:$B,Weekly_Local!$U:$U,"2022-23",Weekly_Local!$T:$T,$A13))</f>
        <v/>
      </c>
      <c r="C13" s="5">
        <f>IF(COUNTIFS(Weekly_Local!$U:$U,"2023-24",Weekly_Local!$T:$T,$A13,Weekly_Local!$B:$B,"&lt;&gt;")=0,"",SUMIFS(Weekly_Local!$B:$B,Weekly_Local!$U:$U,"2023-24",Weekly_Local!$T:$T,$A13))</f>
        <v>13</v>
      </c>
      <c r="D13" s="5">
        <f>IF(COUNTIFS(Weekly_Local!$U:$U,"2024-25",Weekly_Local!$T:$T,$A13,Weekly_Local!$B:$B,"&lt;&gt;")=0,"",SUMIFS(Weekly_Local!$B:$B,Weekly_Local!$U:$U,"2024-25",Weekly_Local!$T:$T,$A13))</f>
        <v>2</v>
      </c>
      <c r="E13" s="5">
        <f>IF(COUNTIFS(Weekly_Local!$U:$U,"2025-26",Weekly_Local!$T:$T,$A13,Weekly_Local!$B:$B,"&lt;&gt;")=0,"",SUMIFS(Weekly_Local!$B:$B,Weekly_Local!$U:$U,"2025-26",Weekly_Local!$T:$T,$A13))</f>
        <v>0</v>
      </c>
      <c r="F13" s="5" t="str">
        <f>IF(COUNTIFS(Weekly_Local!$U:$U,"2026-27",Weekly_Local!$T:$T,$A13,Weekly_Local!$B:$B,"&lt;&gt;")=0,"",SUMIFS(Weekly_Local!$B:$B,Weekly_Local!$U:$U,"2026-27",Weekly_Local!$T:$T,$A13))</f>
        <v/>
      </c>
      <c r="G13" s="5" t="str">
        <f>IF(AND($A13=53,DATE(YEAR(Config!$B$3),1,4)-WEEKDAY(DATE(YEAR(Config!$B$3),1,4))+1+364&gt;=DATE(YEAR(Config!$B$3)+1,1,4)-WEEKDAY(DATE(YEAR(Config!$B$3)+1,1,4))+1),"",TEXT(DATE(YEAR(Config!$B$3)+IF($A13&gt;=36,0,1),1,4)-WEEKDAY(DATE(YEAR(Config!$B$3)+IF($A13&gt;=36,0,1),1,4))+1+7*($A13-1)+1,"m/d/yy")&amp;" – "&amp;TEXT(DATE(YEAR(Config!$B$3)+IF($A13&gt;=36,0,1),1,4)-WEEKDAY(DATE(YEAR(Config!$B$3)+IF($A13&gt;=36,0,1),1,4))+1+7*($A13-1)+7,"m/d/yy"))</f>
        <v>11/2/26 – 11/8/26</v>
      </c>
    </row>
    <row r="14" spans="1:7" x14ac:dyDescent="0.2">
      <c r="A14" s="5">
        <v>45</v>
      </c>
      <c r="B14" s="5" t="str">
        <f>IF(COUNTIFS(Weekly_Local!$U:$U,"2022-23",Weekly_Local!$T:$T,$A14,Weekly_Local!$B:$B,"&lt;&gt;")=0,"",SUMIFS(Weekly_Local!$B:$B,Weekly_Local!$U:$U,"2022-23",Weekly_Local!$T:$T,$A14))</f>
        <v/>
      </c>
      <c r="C14" s="5">
        <f>IF(COUNTIFS(Weekly_Local!$U:$U,"2023-24",Weekly_Local!$T:$T,$A14,Weekly_Local!$B:$B,"&lt;&gt;")=0,"",SUMIFS(Weekly_Local!$B:$B,Weekly_Local!$U:$U,"2023-24",Weekly_Local!$T:$T,$A14))</f>
        <v>6</v>
      </c>
      <c r="D14" s="5">
        <f>IF(COUNTIFS(Weekly_Local!$U:$U,"2024-25",Weekly_Local!$T:$T,$A14,Weekly_Local!$B:$B,"&lt;&gt;")=0,"",SUMIFS(Weekly_Local!$B:$B,Weekly_Local!$U:$U,"2024-25",Weekly_Local!$T:$T,$A14))</f>
        <v>2</v>
      </c>
      <c r="E14" s="5">
        <f>IF(COUNTIFS(Weekly_Local!$U:$U,"2025-26",Weekly_Local!$T:$T,$A14,Weekly_Local!$B:$B,"&lt;&gt;")=0,"",SUMIFS(Weekly_Local!$B:$B,Weekly_Local!$U:$U,"2025-26",Weekly_Local!$T:$T,$A14))</f>
        <v>2</v>
      </c>
      <c r="F14" s="5" t="str">
        <f>IF(COUNTIFS(Weekly_Local!$U:$U,"2026-27",Weekly_Local!$T:$T,$A14,Weekly_Local!$B:$B,"&lt;&gt;")=0,"",SUMIFS(Weekly_Local!$B:$B,Weekly_Local!$U:$U,"2026-27",Weekly_Local!$T:$T,$A14))</f>
        <v/>
      </c>
      <c r="G14" s="5" t="str">
        <f>IF(AND($A14=53,DATE(YEAR(Config!$B$3),1,4)-WEEKDAY(DATE(YEAR(Config!$B$3),1,4))+1+364&gt;=DATE(YEAR(Config!$B$3)+1,1,4)-WEEKDAY(DATE(YEAR(Config!$B$3)+1,1,4))+1),"",TEXT(DATE(YEAR(Config!$B$3)+IF($A14&gt;=36,0,1),1,4)-WEEKDAY(DATE(YEAR(Config!$B$3)+IF($A14&gt;=36,0,1),1,4))+1+7*($A14-1)+1,"m/d/yy")&amp;" – "&amp;TEXT(DATE(YEAR(Config!$B$3)+IF($A14&gt;=36,0,1),1,4)-WEEKDAY(DATE(YEAR(Config!$B$3)+IF($A14&gt;=36,0,1),1,4))+1+7*($A14-1)+7,"m/d/yy"))</f>
        <v>11/9/26 – 11/15/26</v>
      </c>
    </row>
    <row r="15" spans="1:7" x14ac:dyDescent="0.2">
      <c r="A15" s="5">
        <v>46</v>
      </c>
      <c r="B15" s="5" t="str">
        <f>IF(COUNTIFS(Weekly_Local!$U:$U,"2022-23",Weekly_Local!$T:$T,$A15,Weekly_Local!$B:$B,"&lt;&gt;")=0,"",SUMIFS(Weekly_Local!$B:$B,Weekly_Local!$U:$U,"2022-23",Weekly_Local!$T:$T,$A15))</f>
        <v/>
      </c>
      <c r="C15" s="5">
        <f>IF(COUNTIFS(Weekly_Local!$U:$U,"2023-24",Weekly_Local!$T:$T,$A15,Weekly_Local!$B:$B,"&lt;&gt;")=0,"",SUMIFS(Weekly_Local!$B:$B,Weekly_Local!$U:$U,"2023-24",Weekly_Local!$T:$T,$A15))</f>
        <v>0</v>
      </c>
      <c r="D15" s="5">
        <f>IF(COUNTIFS(Weekly_Local!$U:$U,"2024-25",Weekly_Local!$T:$T,$A15,Weekly_Local!$B:$B,"&lt;&gt;")=0,"",SUMIFS(Weekly_Local!$B:$B,Weekly_Local!$U:$U,"2024-25",Weekly_Local!$T:$T,$A15))</f>
        <v>1</v>
      </c>
      <c r="E15" s="5">
        <f>IF(COUNTIFS(Weekly_Local!$U:$U,"2025-26",Weekly_Local!$T:$T,$A15,Weekly_Local!$B:$B,"&lt;&gt;")=0,"",SUMIFS(Weekly_Local!$B:$B,Weekly_Local!$U:$U,"2025-26",Weekly_Local!$T:$T,$A15))</f>
        <v>2</v>
      </c>
      <c r="F15" s="5" t="str">
        <f>IF(COUNTIFS(Weekly_Local!$U:$U,"2026-27",Weekly_Local!$T:$T,$A15,Weekly_Local!$B:$B,"&lt;&gt;")=0,"",SUMIFS(Weekly_Local!$B:$B,Weekly_Local!$U:$U,"2026-27",Weekly_Local!$T:$T,$A15))</f>
        <v/>
      </c>
      <c r="G15" s="5" t="str">
        <f>IF(AND($A15=53,DATE(YEAR(Config!$B$3),1,4)-WEEKDAY(DATE(YEAR(Config!$B$3),1,4))+1+364&gt;=DATE(YEAR(Config!$B$3)+1,1,4)-WEEKDAY(DATE(YEAR(Config!$B$3)+1,1,4))+1),"",TEXT(DATE(YEAR(Config!$B$3)+IF($A15&gt;=36,0,1),1,4)-WEEKDAY(DATE(YEAR(Config!$B$3)+IF($A15&gt;=36,0,1),1,4))+1+7*($A15-1)+1,"m/d/yy")&amp;" – "&amp;TEXT(DATE(YEAR(Config!$B$3)+IF($A15&gt;=36,0,1),1,4)-WEEKDAY(DATE(YEAR(Config!$B$3)+IF($A15&gt;=36,0,1),1,4))+1+7*($A15-1)+7,"m/d/yy"))</f>
        <v>11/16/26 – 11/22/26</v>
      </c>
    </row>
    <row r="16" spans="1:7" x14ac:dyDescent="0.2">
      <c r="A16" s="5">
        <v>47</v>
      </c>
      <c r="B16" s="5" t="str">
        <f>IF(COUNTIFS(Weekly_Local!$U:$U,"2022-23",Weekly_Local!$T:$T,$A16,Weekly_Local!$B:$B,"&lt;&gt;")=0,"",SUMIFS(Weekly_Local!$B:$B,Weekly_Local!$U:$U,"2022-23",Weekly_Local!$T:$T,$A16))</f>
        <v/>
      </c>
      <c r="C16" s="5">
        <f>IF(COUNTIFS(Weekly_Local!$U:$U,"2023-24",Weekly_Local!$T:$T,$A16,Weekly_Local!$B:$B,"&lt;&gt;")=0,"",SUMIFS(Weekly_Local!$B:$B,Weekly_Local!$U:$U,"2023-24",Weekly_Local!$T:$T,$A16))</f>
        <v>2</v>
      </c>
      <c r="D16" s="5">
        <f>IF(COUNTIFS(Weekly_Local!$U:$U,"2024-25",Weekly_Local!$T:$T,$A16,Weekly_Local!$B:$B,"&lt;&gt;")=0,"",SUMIFS(Weekly_Local!$B:$B,Weekly_Local!$U:$U,"2024-25",Weekly_Local!$T:$T,$A16))</f>
        <v>0</v>
      </c>
      <c r="E16" s="5">
        <f>IF(COUNTIFS(Weekly_Local!$U:$U,"2025-26",Weekly_Local!$T:$T,$A16,Weekly_Local!$B:$B,"&lt;&gt;")=0,"",SUMIFS(Weekly_Local!$B:$B,Weekly_Local!$U:$U,"2025-26",Weekly_Local!$T:$T,$A16))</f>
        <v>0</v>
      </c>
      <c r="F16" s="5" t="str">
        <f>IF(COUNTIFS(Weekly_Local!$U:$U,"2026-27",Weekly_Local!$T:$T,$A16,Weekly_Local!$B:$B,"&lt;&gt;")=0,"",SUMIFS(Weekly_Local!$B:$B,Weekly_Local!$U:$U,"2026-27",Weekly_Local!$T:$T,$A16))</f>
        <v/>
      </c>
      <c r="G16" s="5" t="str">
        <f>IF(AND($A16=53,DATE(YEAR(Config!$B$3),1,4)-WEEKDAY(DATE(YEAR(Config!$B$3),1,4))+1+364&gt;=DATE(YEAR(Config!$B$3)+1,1,4)-WEEKDAY(DATE(YEAR(Config!$B$3)+1,1,4))+1),"",TEXT(DATE(YEAR(Config!$B$3)+IF($A16&gt;=36,0,1),1,4)-WEEKDAY(DATE(YEAR(Config!$B$3)+IF($A16&gt;=36,0,1),1,4))+1+7*($A16-1)+1,"m/d/yy")&amp;" – "&amp;TEXT(DATE(YEAR(Config!$B$3)+IF($A16&gt;=36,0,1),1,4)-WEEKDAY(DATE(YEAR(Config!$B$3)+IF($A16&gt;=36,0,1),1,4))+1+7*($A16-1)+7,"m/d/yy"))</f>
        <v>11/23/26 – 11/29/26</v>
      </c>
    </row>
    <row r="17" spans="1:7" x14ac:dyDescent="0.2">
      <c r="A17" s="5">
        <v>48</v>
      </c>
      <c r="B17" s="5">
        <f>IF(COUNTIFS(Weekly_Local!$U:$U,"2022-23",Weekly_Local!$T:$T,$A17,Weekly_Local!$B:$B,"&lt;&gt;")=0,"",SUMIFS(Weekly_Local!$B:$B,Weekly_Local!$U:$U,"2022-23",Weekly_Local!$T:$T,$A17))</f>
        <v>2</v>
      </c>
      <c r="C17" s="5">
        <f>IF(COUNTIFS(Weekly_Local!$U:$U,"2023-24",Weekly_Local!$T:$T,$A17,Weekly_Local!$B:$B,"&lt;&gt;")=0,"",SUMIFS(Weekly_Local!$B:$B,Weekly_Local!$U:$U,"2023-24",Weekly_Local!$T:$T,$A17))</f>
        <v>9</v>
      </c>
      <c r="D17" s="5">
        <f>IF(COUNTIFS(Weekly_Local!$U:$U,"2024-25",Weekly_Local!$T:$T,$A17,Weekly_Local!$B:$B,"&lt;&gt;")=0,"",SUMIFS(Weekly_Local!$B:$B,Weekly_Local!$U:$U,"2024-25",Weekly_Local!$T:$T,$A17))</f>
        <v>1</v>
      </c>
      <c r="E17" s="5">
        <f>IF(COUNTIFS(Weekly_Local!$U:$U,"2025-26",Weekly_Local!$T:$T,$A17,Weekly_Local!$B:$B,"&lt;&gt;")=0,"",SUMIFS(Weekly_Local!$B:$B,Weekly_Local!$U:$U,"2025-26",Weekly_Local!$T:$T,$A17))</f>
        <v>3</v>
      </c>
      <c r="F17" s="5" t="str">
        <f>IF(COUNTIFS(Weekly_Local!$U:$U,"2026-27",Weekly_Local!$T:$T,$A17,Weekly_Local!$B:$B,"&lt;&gt;")=0,"",SUMIFS(Weekly_Local!$B:$B,Weekly_Local!$U:$U,"2026-27",Weekly_Local!$T:$T,$A17))</f>
        <v/>
      </c>
      <c r="G17" s="5" t="str">
        <f>IF(AND($A17=53,DATE(YEAR(Config!$B$3),1,4)-WEEKDAY(DATE(YEAR(Config!$B$3),1,4))+1+364&gt;=DATE(YEAR(Config!$B$3)+1,1,4)-WEEKDAY(DATE(YEAR(Config!$B$3)+1,1,4))+1),"",TEXT(DATE(YEAR(Config!$B$3)+IF($A17&gt;=36,0,1),1,4)-WEEKDAY(DATE(YEAR(Config!$B$3)+IF($A17&gt;=36,0,1),1,4))+1+7*($A17-1)+1,"m/d/yy")&amp;" – "&amp;TEXT(DATE(YEAR(Config!$B$3)+IF($A17&gt;=36,0,1),1,4)-WEEKDAY(DATE(YEAR(Config!$B$3)+IF($A17&gt;=36,0,1),1,4))+1+7*($A17-1)+7,"m/d/yy"))</f>
        <v>11/30/26 – 12/6/26</v>
      </c>
    </row>
    <row r="18" spans="1:7" x14ac:dyDescent="0.2">
      <c r="A18" s="5">
        <v>49</v>
      </c>
      <c r="B18" s="5">
        <f>IF(COUNTIFS(Weekly_Local!$U:$U,"2022-23",Weekly_Local!$T:$T,$A18,Weekly_Local!$B:$B,"&lt;&gt;")=0,"",SUMIFS(Weekly_Local!$B:$B,Weekly_Local!$U:$U,"2022-23",Weekly_Local!$T:$T,$A18))</f>
        <v>8</v>
      </c>
      <c r="C18" s="5">
        <f>IF(COUNTIFS(Weekly_Local!$U:$U,"2023-24",Weekly_Local!$T:$T,$A18,Weekly_Local!$B:$B,"&lt;&gt;")=0,"",SUMIFS(Weekly_Local!$B:$B,Weekly_Local!$U:$U,"2023-24",Weekly_Local!$T:$T,$A18))</f>
        <v>4</v>
      </c>
      <c r="D18" s="5">
        <f>IF(COUNTIFS(Weekly_Local!$U:$U,"2024-25",Weekly_Local!$T:$T,$A18,Weekly_Local!$B:$B,"&lt;&gt;")=0,"",SUMIFS(Weekly_Local!$B:$B,Weekly_Local!$U:$U,"2024-25",Weekly_Local!$T:$T,$A18))</f>
        <v>2</v>
      </c>
      <c r="E18" s="5">
        <f>IF(COUNTIFS(Weekly_Local!$U:$U,"2025-26",Weekly_Local!$T:$T,$A18,Weekly_Local!$B:$B,"&lt;&gt;")=0,"",SUMIFS(Weekly_Local!$B:$B,Weekly_Local!$U:$U,"2025-26",Weekly_Local!$T:$T,$A18))</f>
        <v>5</v>
      </c>
      <c r="F18" s="5" t="str">
        <f>IF(COUNTIFS(Weekly_Local!$U:$U,"2026-27",Weekly_Local!$T:$T,$A18,Weekly_Local!$B:$B,"&lt;&gt;")=0,"",SUMIFS(Weekly_Local!$B:$B,Weekly_Local!$U:$U,"2026-27",Weekly_Local!$T:$T,$A18))</f>
        <v/>
      </c>
      <c r="G18" s="5" t="str">
        <f>IF(AND($A18=53,DATE(YEAR(Config!$B$3),1,4)-WEEKDAY(DATE(YEAR(Config!$B$3),1,4))+1+364&gt;=DATE(YEAR(Config!$B$3)+1,1,4)-WEEKDAY(DATE(YEAR(Config!$B$3)+1,1,4))+1),"",TEXT(DATE(YEAR(Config!$B$3)+IF($A18&gt;=36,0,1),1,4)-WEEKDAY(DATE(YEAR(Config!$B$3)+IF($A18&gt;=36,0,1),1,4))+1+7*($A18-1)+1,"m/d/yy")&amp;" – "&amp;TEXT(DATE(YEAR(Config!$B$3)+IF($A18&gt;=36,0,1),1,4)-WEEKDAY(DATE(YEAR(Config!$B$3)+IF($A18&gt;=36,0,1),1,4))+1+7*($A18-1)+7,"m/d/yy"))</f>
        <v>12/7/26 – 12/13/26</v>
      </c>
    </row>
    <row r="19" spans="1:7" x14ac:dyDescent="0.2">
      <c r="A19" s="5">
        <v>50</v>
      </c>
      <c r="B19" s="5">
        <f>IF(COUNTIFS(Weekly_Local!$U:$U,"2022-23",Weekly_Local!$T:$T,$A19,Weekly_Local!$B:$B,"&lt;&gt;")=0,"",SUMIFS(Weekly_Local!$B:$B,Weekly_Local!$U:$U,"2022-23",Weekly_Local!$T:$T,$A19))</f>
        <v>5</v>
      </c>
      <c r="C19" s="5">
        <f>IF(COUNTIFS(Weekly_Local!$U:$U,"2023-24",Weekly_Local!$T:$T,$A19,Weekly_Local!$B:$B,"&lt;&gt;")=0,"",SUMIFS(Weekly_Local!$B:$B,Weekly_Local!$U:$U,"2023-24",Weekly_Local!$T:$T,$A19))</f>
        <v>5</v>
      </c>
      <c r="D19" s="5">
        <f>IF(COUNTIFS(Weekly_Local!$U:$U,"2024-25",Weekly_Local!$T:$T,$A19,Weekly_Local!$B:$B,"&lt;&gt;")=0,"",SUMIFS(Weekly_Local!$B:$B,Weekly_Local!$U:$U,"2024-25",Weekly_Local!$T:$T,$A19))</f>
        <v>1</v>
      </c>
      <c r="E19" s="5">
        <f>IF(COUNTIFS(Weekly_Local!$U:$U,"2025-26",Weekly_Local!$T:$T,$A19,Weekly_Local!$B:$B,"&lt;&gt;")=0,"",SUMIFS(Weekly_Local!$B:$B,Weekly_Local!$U:$U,"2025-26",Weekly_Local!$T:$T,$A19))</f>
        <v>0</v>
      </c>
      <c r="F19" s="5" t="str">
        <f>IF(COUNTIFS(Weekly_Local!$U:$U,"2026-27",Weekly_Local!$T:$T,$A19,Weekly_Local!$B:$B,"&lt;&gt;")=0,"",SUMIFS(Weekly_Local!$B:$B,Weekly_Local!$U:$U,"2026-27",Weekly_Local!$T:$T,$A19))</f>
        <v/>
      </c>
      <c r="G19" s="5" t="str">
        <f>IF(AND($A19=53,DATE(YEAR(Config!$B$3),1,4)-WEEKDAY(DATE(YEAR(Config!$B$3),1,4))+1+364&gt;=DATE(YEAR(Config!$B$3)+1,1,4)-WEEKDAY(DATE(YEAR(Config!$B$3)+1,1,4))+1),"",TEXT(DATE(YEAR(Config!$B$3)+IF($A19&gt;=36,0,1),1,4)-WEEKDAY(DATE(YEAR(Config!$B$3)+IF($A19&gt;=36,0,1),1,4))+1+7*($A19-1)+1,"m/d/yy")&amp;" – "&amp;TEXT(DATE(YEAR(Config!$B$3)+IF($A19&gt;=36,0,1),1,4)-WEEKDAY(DATE(YEAR(Config!$B$3)+IF($A19&gt;=36,0,1),1,4))+1+7*($A19-1)+7,"m/d/yy"))</f>
        <v>12/14/26 – 12/20/26</v>
      </c>
    </row>
    <row r="20" spans="1:7" x14ac:dyDescent="0.2">
      <c r="A20" s="5">
        <v>51</v>
      </c>
      <c r="B20" s="5">
        <f>IF(COUNTIFS(Weekly_Local!$U:$U,"2022-23",Weekly_Local!$T:$T,$A20,Weekly_Local!$B:$B,"&lt;&gt;")=0,"",SUMIFS(Weekly_Local!$B:$B,Weekly_Local!$U:$U,"2022-23",Weekly_Local!$T:$T,$A20))</f>
        <v>16</v>
      </c>
      <c r="C20" s="5">
        <f>IF(COUNTIFS(Weekly_Local!$U:$U,"2023-24",Weekly_Local!$T:$T,$A20,Weekly_Local!$B:$B,"&lt;&gt;")=0,"",SUMIFS(Weekly_Local!$B:$B,Weekly_Local!$U:$U,"2023-24",Weekly_Local!$T:$T,$A20))</f>
        <v>6</v>
      </c>
      <c r="D20" s="5">
        <f>IF(COUNTIFS(Weekly_Local!$U:$U,"2024-25",Weekly_Local!$T:$T,$A20,Weekly_Local!$B:$B,"&lt;&gt;")=0,"",SUMIFS(Weekly_Local!$B:$B,Weekly_Local!$U:$U,"2024-25",Weekly_Local!$T:$T,$A20))</f>
        <v>4</v>
      </c>
      <c r="E20" s="5">
        <f>IF(COUNTIFS(Weekly_Local!$U:$U,"2025-26",Weekly_Local!$T:$T,$A20,Weekly_Local!$B:$B,"&lt;&gt;")=0,"",SUMIFS(Weekly_Local!$B:$B,Weekly_Local!$U:$U,"2025-26",Weekly_Local!$T:$T,$A20))</f>
        <v>0</v>
      </c>
      <c r="F20" s="5" t="str">
        <f>IF(COUNTIFS(Weekly_Local!$U:$U,"2026-27",Weekly_Local!$T:$T,$A20,Weekly_Local!$B:$B,"&lt;&gt;")=0,"",SUMIFS(Weekly_Local!$B:$B,Weekly_Local!$U:$U,"2026-27",Weekly_Local!$T:$T,$A20))</f>
        <v/>
      </c>
      <c r="G20" s="5" t="str">
        <f>IF(AND($A20=53,DATE(YEAR(Config!$B$3),1,4)-WEEKDAY(DATE(YEAR(Config!$B$3),1,4))+1+364&gt;=DATE(YEAR(Config!$B$3)+1,1,4)-WEEKDAY(DATE(YEAR(Config!$B$3)+1,1,4))+1),"",TEXT(DATE(YEAR(Config!$B$3)+IF($A20&gt;=36,0,1),1,4)-WEEKDAY(DATE(YEAR(Config!$B$3)+IF($A20&gt;=36,0,1),1,4))+1+7*($A20-1)+1,"m/d/yy")&amp;" – "&amp;TEXT(DATE(YEAR(Config!$B$3)+IF($A20&gt;=36,0,1),1,4)-WEEKDAY(DATE(YEAR(Config!$B$3)+IF($A20&gt;=36,0,1),1,4))+1+7*($A20-1)+7,"m/d/yy"))</f>
        <v>12/21/26 – 12/27/26</v>
      </c>
    </row>
    <row r="21" spans="1:7" x14ac:dyDescent="0.2">
      <c r="A21" s="5">
        <v>52</v>
      </c>
      <c r="B21" s="5">
        <f>IF(COUNTIFS(Weekly_Local!$U:$U,"2022-23",Weekly_Local!$T:$T,$A21,Weekly_Local!$B:$B,"&lt;&gt;")=0,"",SUMIFS(Weekly_Local!$B:$B,Weekly_Local!$U:$U,"2022-23",Weekly_Local!$T:$T,$A21))</f>
        <v>18</v>
      </c>
      <c r="C21" s="5">
        <f>IF(COUNTIFS(Weekly_Local!$U:$U,"2023-24",Weekly_Local!$T:$T,$A21,Weekly_Local!$B:$B,"&lt;&gt;")=0,"",SUMIFS(Weekly_Local!$B:$B,Weekly_Local!$U:$U,"2023-24",Weekly_Local!$T:$T,$A21))</f>
        <v>10</v>
      </c>
      <c r="D21" s="5">
        <f>IF(COUNTIFS(Weekly_Local!$U:$U,"2024-25",Weekly_Local!$T:$T,$A21,Weekly_Local!$B:$B,"&lt;&gt;")=0,"",SUMIFS(Weekly_Local!$B:$B,Weekly_Local!$U:$U,"2024-25",Weekly_Local!$T:$T,$A21))</f>
        <v>1</v>
      </c>
      <c r="E21" s="5">
        <f>IF(COUNTIFS(Weekly_Local!$U:$U,"2025-26",Weekly_Local!$T:$T,$A21,Weekly_Local!$B:$B,"&lt;&gt;")=0,"",SUMIFS(Weekly_Local!$B:$B,Weekly_Local!$U:$U,"2025-26",Weekly_Local!$T:$T,$A21))</f>
        <v>0</v>
      </c>
      <c r="F21" s="5" t="str">
        <f>IF(COUNTIFS(Weekly_Local!$U:$U,"2026-27",Weekly_Local!$T:$T,$A21,Weekly_Local!$B:$B,"&lt;&gt;")=0,"",SUMIFS(Weekly_Local!$B:$B,Weekly_Local!$U:$U,"2026-27",Weekly_Local!$T:$T,$A21))</f>
        <v/>
      </c>
      <c r="G21" s="5" t="str">
        <f>IF(AND($A21=53,DATE(YEAR(Config!$B$3),1,4)-WEEKDAY(DATE(YEAR(Config!$B$3),1,4))+1+364&gt;=DATE(YEAR(Config!$B$3)+1,1,4)-WEEKDAY(DATE(YEAR(Config!$B$3)+1,1,4))+1),"",TEXT(DATE(YEAR(Config!$B$3)+IF($A21&gt;=36,0,1),1,4)-WEEKDAY(DATE(YEAR(Config!$B$3)+IF($A21&gt;=36,0,1),1,4))+1+7*($A21-1)+1,"m/d/yy")&amp;" – "&amp;TEXT(DATE(YEAR(Config!$B$3)+IF($A21&gt;=36,0,1),1,4)-WEEKDAY(DATE(YEAR(Config!$B$3)+IF($A21&gt;=36,0,1),1,4))+1+7*($A21-1)+7,"m/d/yy"))</f>
        <v>12/28/26 – 1/3/27</v>
      </c>
    </row>
    <row r="22" spans="1:7" x14ac:dyDescent="0.2">
      <c r="A22" s="5">
        <v>53</v>
      </c>
      <c r="B22" s="5" t="str">
        <f>IF(COUNTIFS(Weekly_Local!$U:$U,"2022-23",Weekly_Local!$T:$T,$A22,Weekly_Local!$B:$B,"&lt;&gt;")=0,"",SUMIFS(Weekly_Local!$B:$B,Weekly_Local!$U:$U,"2022-23",Weekly_Local!$T:$T,$A22))</f>
        <v/>
      </c>
      <c r="C22" s="5" t="str">
        <f>IF(COUNTIFS(Weekly_Local!$U:$U,"2023-24",Weekly_Local!$T:$T,$A22,Weekly_Local!$B:$B,"&lt;&gt;")=0,"",SUMIFS(Weekly_Local!$B:$B,Weekly_Local!$U:$U,"2023-24",Weekly_Local!$T:$T,$A22))</f>
        <v/>
      </c>
      <c r="D22" s="5" t="str">
        <f>IF(COUNTIFS(Weekly_Local!$U:$U,"2024-25",Weekly_Local!$T:$T,$A22,Weekly_Local!$B:$B,"&lt;&gt;")=0,"",SUMIFS(Weekly_Local!$B:$B,Weekly_Local!$U:$U,"2024-25",Weekly_Local!$T:$T,$A22))</f>
        <v/>
      </c>
      <c r="E22" s="5">
        <f>IF(COUNTIFS(Weekly_Local!$U:$U,"2025-26",Weekly_Local!$T:$T,$A22,Weekly_Local!$B:$B,"&lt;&gt;")=0,"",SUMIFS(Weekly_Local!$B:$B,Weekly_Local!$U:$U,"2025-26",Weekly_Local!$T:$T,$A22))</f>
        <v>1</v>
      </c>
      <c r="F22" s="5" t="str">
        <f>IF(COUNTIFS(Weekly_Local!$U:$U,"2026-27",Weekly_Local!$T:$T,$A22,Weekly_Local!$B:$B,"&lt;&gt;")=0,"",SUMIFS(Weekly_Local!$B:$B,Weekly_Local!$U:$U,"2026-27",Weekly_Local!$T:$T,$A22))</f>
        <v/>
      </c>
      <c r="G22" s="5" t="str">
        <f>IF(AND($A22=53,DATE(YEAR(Config!$B$3),1,4)-WEEKDAY(DATE(YEAR(Config!$B$3),1,4))+1+364&gt;=DATE(YEAR(Config!$B$3)+1,1,4)-WEEKDAY(DATE(YEAR(Config!$B$3)+1,1,4))+1),"",TEXT(DATE(YEAR(Config!$B$3)+IF($A22&gt;=36,0,1),1,4)-WEEKDAY(DATE(YEAR(Config!$B$3)+IF($A22&gt;=36,0,1),1,4))+1+7*($A22-1)+1,"m/d/yy")&amp;" – "&amp;TEXT(DATE(YEAR(Config!$B$3)+IF($A22&gt;=36,0,1),1,4)-WEEKDAY(DATE(YEAR(Config!$B$3)+IF($A22&gt;=36,0,1),1,4))+1+7*($A22-1)+7,"m/d/yy"))</f>
        <v/>
      </c>
    </row>
    <row r="23" spans="1:7" x14ac:dyDescent="0.2">
      <c r="A23" s="5">
        <v>1</v>
      </c>
      <c r="B23" s="5">
        <f>IF(COUNTIFS(Weekly_Local!$U:$U,"2022-23",Weekly_Local!$T:$T,$A23,Weekly_Local!$B:$B,"&lt;&gt;")=0,"",SUMIFS(Weekly_Local!$B:$B,Weekly_Local!$U:$U,"2022-23",Weekly_Local!$T:$T,$A23))</f>
        <v>13</v>
      </c>
      <c r="C23" s="5">
        <f>IF(COUNTIFS(Weekly_Local!$U:$U,"2023-24",Weekly_Local!$T:$T,$A23,Weekly_Local!$B:$B,"&lt;&gt;")=0,"",SUMIFS(Weekly_Local!$B:$B,Weekly_Local!$U:$U,"2023-24",Weekly_Local!$T:$T,$A23))</f>
        <v>12</v>
      </c>
      <c r="D23" s="5">
        <f>IF(COUNTIFS(Weekly_Local!$U:$U,"2024-25",Weekly_Local!$T:$T,$A23,Weekly_Local!$B:$B,"&lt;&gt;")=0,"",SUMIFS(Weekly_Local!$B:$B,Weekly_Local!$U:$U,"2024-25",Weekly_Local!$T:$T,$A23))</f>
        <v>2</v>
      </c>
      <c r="E23" s="5">
        <f>IF(COUNTIFS(Weekly_Local!$U:$U,"2025-26",Weekly_Local!$T:$T,$A23,Weekly_Local!$B:$B,"&lt;&gt;")=0,"",SUMIFS(Weekly_Local!$B:$B,Weekly_Local!$U:$U,"2025-26",Weekly_Local!$T:$T,$A23))</f>
        <v>1</v>
      </c>
      <c r="F23" s="5" t="str">
        <f>IF(COUNTIFS(Weekly_Local!$U:$U,"2026-27",Weekly_Local!$T:$T,$A23,Weekly_Local!$B:$B,"&lt;&gt;")=0,"",SUMIFS(Weekly_Local!$B:$B,Weekly_Local!$U:$U,"2026-27",Weekly_Local!$T:$T,$A23))</f>
        <v/>
      </c>
      <c r="G23" s="5" t="str">
        <f>IF(AND($A23=53,DATE(YEAR(Config!$B$3),1,4)-WEEKDAY(DATE(YEAR(Config!$B$3),1,4))+1+364&gt;=DATE(YEAR(Config!$B$3)+1,1,4)-WEEKDAY(DATE(YEAR(Config!$B$3)+1,1,4))+1),"",TEXT(DATE(YEAR(Config!$B$3)+IF($A23&gt;=36,0,1),1,4)-WEEKDAY(DATE(YEAR(Config!$B$3)+IF($A23&gt;=36,0,1),1,4))+1+7*($A23-1)+1,"m/d/yy")&amp;" – "&amp;TEXT(DATE(YEAR(Config!$B$3)+IF($A23&gt;=36,0,1),1,4)-WEEKDAY(DATE(YEAR(Config!$B$3)+IF($A23&gt;=36,0,1),1,4))+1+7*($A23-1)+7,"m/d/yy"))</f>
        <v>1/4/27 – 1/10/27</v>
      </c>
    </row>
    <row r="24" spans="1:7" x14ac:dyDescent="0.2">
      <c r="A24" s="5">
        <v>2</v>
      </c>
      <c r="B24" s="5">
        <f>IF(COUNTIFS(Weekly_Local!$U:$U,"2022-23",Weekly_Local!$T:$T,$A24,Weekly_Local!$B:$B,"&lt;&gt;")=0,"",SUMIFS(Weekly_Local!$B:$B,Weekly_Local!$U:$U,"2022-23",Weekly_Local!$T:$T,$A24))</f>
        <v>9</v>
      </c>
      <c r="C24" s="5">
        <f>IF(COUNTIFS(Weekly_Local!$U:$U,"2023-24",Weekly_Local!$T:$T,$A24,Weekly_Local!$B:$B,"&lt;&gt;")=0,"",SUMIFS(Weekly_Local!$B:$B,Weekly_Local!$U:$U,"2023-24",Weekly_Local!$T:$T,$A24))</f>
        <v>8</v>
      </c>
      <c r="D24" s="5">
        <f>IF(COUNTIFS(Weekly_Local!$U:$U,"2024-25",Weekly_Local!$T:$T,$A24,Weekly_Local!$B:$B,"&lt;&gt;")=0,"",SUMIFS(Weekly_Local!$B:$B,Weekly_Local!$U:$U,"2024-25",Weekly_Local!$T:$T,$A24))</f>
        <v>3</v>
      </c>
      <c r="E24" s="5">
        <f>IF(COUNTIFS(Weekly_Local!$U:$U,"2025-26",Weekly_Local!$T:$T,$A24,Weekly_Local!$B:$B,"&lt;&gt;")=0,"",SUMIFS(Weekly_Local!$B:$B,Weekly_Local!$U:$U,"2025-26",Weekly_Local!$T:$T,$A24))</f>
        <v>0</v>
      </c>
      <c r="F24" s="5" t="str">
        <f>IF(COUNTIFS(Weekly_Local!$U:$U,"2026-27",Weekly_Local!$T:$T,$A24,Weekly_Local!$B:$B,"&lt;&gt;")=0,"",SUMIFS(Weekly_Local!$B:$B,Weekly_Local!$U:$U,"2026-27",Weekly_Local!$T:$T,$A24))</f>
        <v/>
      </c>
      <c r="G24" s="5" t="str">
        <f>IF(AND($A24=53,DATE(YEAR(Config!$B$3),1,4)-WEEKDAY(DATE(YEAR(Config!$B$3),1,4))+1+364&gt;=DATE(YEAR(Config!$B$3)+1,1,4)-WEEKDAY(DATE(YEAR(Config!$B$3)+1,1,4))+1),"",TEXT(DATE(YEAR(Config!$B$3)+IF($A24&gt;=36,0,1),1,4)-WEEKDAY(DATE(YEAR(Config!$B$3)+IF($A24&gt;=36,0,1),1,4))+1+7*($A24-1)+1,"m/d/yy")&amp;" – "&amp;TEXT(DATE(YEAR(Config!$B$3)+IF($A24&gt;=36,0,1),1,4)-WEEKDAY(DATE(YEAR(Config!$B$3)+IF($A24&gt;=36,0,1),1,4))+1+7*($A24-1)+7,"m/d/yy"))</f>
        <v>1/11/27 – 1/17/27</v>
      </c>
    </row>
    <row r="25" spans="1:7" x14ac:dyDescent="0.2">
      <c r="A25" s="5">
        <v>3</v>
      </c>
      <c r="B25" s="5">
        <f>IF(COUNTIFS(Weekly_Local!$U:$U,"2022-23",Weekly_Local!$T:$T,$A25,Weekly_Local!$B:$B,"&lt;&gt;")=0,"",SUMIFS(Weekly_Local!$B:$B,Weekly_Local!$U:$U,"2022-23",Weekly_Local!$T:$T,$A25))</f>
        <v>6</v>
      </c>
      <c r="C25" s="5">
        <f>IF(COUNTIFS(Weekly_Local!$U:$U,"2023-24",Weekly_Local!$T:$T,$A25,Weekly_Local!$B:$B,"&lt;&gt;")=0,"",SUMIFS(Weekly_Local!$B:$B,Weekly_Local!$U:$U,"2023-24",Weekly_Local!$T:$T,$A25))</f>
        <v>5</v>
      </c>
      <c r="D25" s="5">
        <f>IF(COUNTIFS(Weekly_Local!$U:$U,"2024-25",Weekly_Local!$T:$T,$A25,Weekly_Local!$B:$B,"&lt;&gt;")=0,"",SUMIFS(Weekly_Local!$B:$B,Weekly_Local!$U:$U,"2024-25",Weekly_Local!$T:$T,$A25))</f>
        <v>4</v>
      </c>
      <c r="E25" s="5">
        <f>IF(COUNTIFS(Weekly_Local!$U:$U,"2025-26",Weekly_Local!$T:$T,$A25,Weekly_Local!$B:$B,"&lt;&gt;")=0,"",SUMIFS(Weekly_Local!$B:$B,Weekly_Local!$U:$U,"2025-26",Weekly_Local!$T:$T,$A25))</f>
        <v>0</v>
      </c>
      <c r="F25" s="5" t="str">
        <f>IF(COUNTIFS(Weekly_Local!$U:$U,"2026-27",Weekly_Local!$T:$T,$A25,Weekly_Local!$B:$B,"&lt;&gt;")=0,"",SUMIFS(Weekly_Local!$B:$B,Weekly_Local!$U:$U,"2026-27",Weekly_Local!$T:$T,$A25))</f>
        <v/>
      </c>
      <c r="G25" s="5" t="str">
        <f>IF(AND($A25=53,DATE(YEAR(Config!$B$3),1,4)-WEEKDAY(DATE(YEAR(Config!$B$3),1,4))+1+364&gt;=DATE(YEAR(Config!$B$3)+1,1,4)-WEEKDAY(DATE(YEAR(Config!$B$3)+1,1,4))+1),"",TEXT(DATE(YEAR(Config!$B$3)+IF($A25&gt;=36,0,1),1,4)-WEEKDAY(DATE(YEAR(Config!$B$3)+IF($A25&gt;=36,0,1),1,4))+1+7*($A25-1)+1,"m/d/yy")&amp;" – "&amp;TEXT(DATE(YEAR(Config!$B$3)+IF($A25&gt;=36,0,1),1,4)-WEEKDAY(DATE(YEAR(Config!$B$3)+IF($A25&gt;=36,0,1),1,4))+1+7*($A25-1)+7,"m/d/yy"))</f>
        <v>1/18/27 – 1/24/27</v>
      </c>
    </row>
    <row r="26" spans="1:7" x14ac:dyDescent="0.2">
      <c r="A26" s="5">
        <v>4</v>
      </c>
      <c r="B26" s="5">
        <f>IF(COUNTIFS(Weekly_Local!$U:$U,"2022-23",Weekly_Local!$T:$T,$A26,Weekly_Local!$B:$B,"&lt;&gt;")=0,"",SUMIFS(Weekly_Local!$B:$B,Weekly_Local!$U:$U,"2022-23",Weekly_Local!$T:$T,$A26))</f>
        <v>5</v>
      </c>
      <c r="C26" s="5">
        <f>IF(COUNTIFS(Weekly_Local!$U:$U,"2023-24",Weekly_Local!$T:$T,$A26,Weekly_Local!$B:$B,"&lt;&gt;")=0,"",SUMIFS(Weekly_Local!$B:$B,Weekly_Local!$U:$U,"2023-24",Weekly_Local!$T:$T,$A26))</f>
        <v>5</v>
      </c>
      <c r="D26" s="5">
        <f>IF(COUNTIFS(Weekly_Local!$U:$U,"2024-25",Weekly_Local!$T:$T,$A26,Weekly_Local!$B:$B,"&lt;&gt;")=0,"",SUMIFS(Weekly_Local!$B:$B,Weekly_Local!$U:$U,"2024-25",Weekly_Local!$T:$T,$A26))</f>
        <v>3</v>
      </c>
      <c r="E26" s="5">
        <f>IF(COUNTIFS(Weekly_Local!$U:$U,"2025-26",Weekly_Local!$T:$T,$A26,Weekly_Local!$B:$B,"&lt;&gt;")=0,"",SUMIFS(Weekly_Local!$B:$B,Weekly_Local!$U:$U,"2025-26",Weekly_Local!$T:$T,$A26))</f>
        <v>4</v>
      </c>
      <c r="F26" s="5" t="str">
        <f>IF(COUNTIFS(Weekly_Local!$U:$U,"2026-27",Weekly_Local!$T:$T,$A26,Weekly_Local!$B:$B,"&lt;&gt;")=0,"",SUMIFS(Weekly_Local!$B:$B,Weekly_Local!$U:$U,"2026-27",Weekly_Local!$T:$T,$A26))</f>
        <v/>
      </c>
      <c r="G26" s="5" t="str">
        <f>IF(AND($A26=53,DATE(YEAR(Config!$B$3),1,4)-WEEKDAY(DATE(YEAR(Config!$B$3),1,4))+1+364&gt;=DATE(YEAR(Config!$B$3)+1,1,4)-WEEKDAY(DATE(YEAR(Config!$B$3)+1,1,4))+1),"",TEXT(DATE(YEAR(Config!$B$3)+IF($A26&gt;=36,0,1),1,4)-WEEKDAY(DATE(YEAR(Config!$B$3)+IF($A26&gt;=36,0,1),1,4))+1+7*($A26-1)+1,"m/d/yy")&amp;" – "&amp;TEXT(DATE(YEAR(Config!$B$3)+IF($A26&gt;=36,0,1),1,4)-WEEKDAY(DATE(YEAR(Config!$B$3)+IF($A26&gt;=36,0,1),1,4))+1+7*($A26-1)+7,"m/d/yy"))</f>
        <v>1/25/27 – 1/31/27</v>
      </c>
    </row>
    <row r="27" spans="1:7" x14ac:dyDescent="0.2">
      <c r="A27" s="5">
        <v>5</v>
      </c>
      <c r="B27" s="5">
        <f>IF(COUNTIFS(Weekly_Local!$U:$U,"2022-23",Weekly_Local!$T:$T,$A27,Weekly_Local!$B:$B,"&lt;&gt;")=0,"",SUMIFS(Weekly_Local!$B:$B,Weekly_Local!$U:$U,"2022-23",Weekly_Local!$T:$T,$A27))</f>
        <v>5</v>
      </c>
      <c r="C27" s="5">
        <f>IF(COUNTIFS(Weekly_Local!$U:$U,"2023-24",Weekly_Local!$T:$T,$A27,Weekly_Local!$B:$B,"&lt;&gt;")=0,"",SUMIFS(Weekly_Local!$B:$B,Weekly_Local!$U:$U,"2023-24",Weekly_Local!$T:$T,$A27))</f>
        <v>5</v>
      </c>
      <c r="D27" s="5">
        <f>IF(COUNTIFS(Weekly_Local!$U:$U,"2024-25",Weekly_Local!$T:$T,$A27,Weekly_Local!$B:$B,"&lt;&gt;")=0,"",SUMIFS(Weekly_Local!$B:$B,Weekly_Local!$U:$U,"2024-25",Weekly_Local!$T:$T,$A27))</f>
        <v>1</v>
      </c>
      <c r="E27" s="5">
        <f>IF(COUNTIFS(Weekly_Local!$U:$U,"2025-26",Weekly_Local!$T:$T,$A27,Weekly_Local!$B:$B,"&lt;&gt;")=0,"",SUMIFS(Weekly_Local!$B:$B,Weekly_Local!$U:$U,"2025-26",Weekly_Local!$T:$T,$A27))</f>
        <v>2</v>
      </c>
      <c r="F27" s="5" t="str">
        <f>IF(COUNTIFS(Weekly_Local!$U:$U,"2026-27",Weekly_Local!$T:$T,$A27,Weekly_Local!$B:$B,"&lt;&gt;")=0,"",SUMIFS(Weekly_Local!$B:$B,Weekly_Local!$U:$U,"2026-27",Weekly_Local!$T:$T,$A27))</f>
        <v/>
      </c>
      <c r="G27" s="5" t="str">
        <f>IF(AND($A27=53,DATE(YEAR(Config!$B$3),1,4)-WEEKDAY(DATE(YEAR(Config!$B$3),1,4))+1+364&gt;=DATE(YEAR(Config!$B$3)+1,1,4)-WEEKDAY(DATE(YEAR(Config!$B$3)+1,1,4))+1),"",TEXT(DATE(YEAR(Config!$B$3)+IF($A27&gt;=36,0,1),1,4)-WEEKDAY(DATE(YEAR(Config!$B$3)+IF($A27&gt;=36,0,1),1,4))+1+7*($A27-1)+1,"m/d/yy")&amp;" – "&amp;TEXT(DATE(YEAR(Config!$B$3)+IF($A27&gt;=36,0,1),1,4)-WEEKDAY(DATE(YEAR(Config!$B$3)+IF($A27&gt;=36,0,1),1,4))+1+7*($A27-1)+7,"m/d/yy"))</f>
        <v>2/1/27 – 2/7/27</v>
      </c>
    </row>
    <row r="28" spans="1:7" x14ac:dyDescent="0.2">
      <c r="A28" s="5">
        <v>6</v>
      </c>
      <c r="B28" s="5">
        <f>IF(COUNTIFS(Weekly_Local!$U:$U,"2022-23",Weekly_Local!$T:$T,$A28,Weekly_Local!$B:$B,"&lt;&gt;")=0,"",SUMIFS(Weekly_Local!$B:$B,Weekly_Local!$U:$U,"2022-23",Weekly_Local!$T:$T,$A28))</f>
        <v>3</v>
      </c>
      <c r="C28" s="5">
        <f>IF(COUNTIFS(Weekly_Local!$U:$U,"2023-24",Weekly_Local!$T:$T,$A28,Weekly_Local!$B:$B,"&lt;&gt;")=0,"",SUMIFS(Weekly_Local!$B:$B,Weekly_Local!$U:$U,"2023-24",Weekly_Local!$T:$T,$A28))</f>
        <v>1</v>
      </c>
      <c r="D28" s="5">
        <f>IF(COUNTIFS(Weekly_Local!$U:$U,"2024-25",Weekly_Local!$T:$T,$A28,Weekly_Local!$B:$B,"&lt;&gt;")=0,"",SUMIFS(Weekly_Local!$B:$B,Weekly_Local!$U:$U,"2024-25",Weekly_Local!$T:$T,$A28))</f>
        <v>4</v>
      </c>
      <c r="E28" s="5">
        <f>IF(COUNTIFS(Weekly_Local!$U:$U,"2025-26",Weekly_Local!$T:$T,$A28,Weekly_Local!$B:$B,"&lt;&gt;")=0,"",SUMIFS(Weekly_Local!$B:$B,Weekly_Local!$U:$U,"2025-26",Weekly_Local!$T:$T,$A28))</f>
        <v>1</v>
      </c>
      <c r="F28" s="5" t="str">
        <f>IF(COUNTIFS(Weekly_Local!$U:$U,"2026-27",Weekly_Local!$T:$T,$A28,Weekly_Local!$B:$B,"&lt;&gt;")=0,"",SUMIFS(Weekly_Local!$B:$B,Weekly_Local!$U:$U,"2026-27",Weekly_Local!$T:$T,$A28))</f>
        <v/>
      </c>
      <c r="G28" s="5" t="str">
        <f>IF(AND($A28=53,DATE(YEAR(Config!$B$3),1,4)-WEEKDAY(DATE(YEAR(Config!$B$3),1,4))+1+364&gt;=DATE(YEAR(Config!$B$3)+1,1,4)-WEEKDAY(DATE(YEAR(Config!$B$3)+1,1,4))+1),"",TEXT(DATE(YEAR(Config!$B$3)+IF($A28&gt;=36,0,1),1,4)-WEEKDAY(DATE(YEAR(Config!$B$3)+IF($A28&gt;=36,0,1),1,4))+1+7*($A28-1)+1,"m/d/yy")&amp;" – "&amp;TEXT(DATE(YEAR(Config!$B$3)+IF($A28&gt;=36,0,1),1,4)-WEEKDAY(DATE(YEAR(Config!$B$3)+IF($A28&gt;=36,0,1),1,4))+1+7*($A28-1)+7,"m/d/yy"))</f>
        <v>2/8/27 – 2/14/27</v>
      </c>
    </row>
    <row r="29" spans="1:7" x14ac:dyDescent="0.2">
      <c r="A29" s="5">
        <v>7</v>
      </c>
      <c r="B29" s="5">
        <f>IF(COUNTIFS(Weekly_Local!$U:$U,"2022-23",Weekly_Local!$T:$T,$A29,Weekly_Local!$B:$B,"&lt;&gt;")=0,"",SUMIFS(Weekly_Local!$B:$B,Weekly_Local!$U:$U,"2022-23",Weekly_Local!$T:$T,$A29))</f>
        <v>2</v>
      </c>
      <c r="C29" s="5">
        <f>IF(COUNTIFS(Weekly_Local!$U:$U,"2023-24",Weekly_Local!$T:$T,$A29,Weekly_Local!$B:$B,"&lt;&gt;")=0,"",SUMIFS(Weekly_Local!$B:$B,Weekly_Local!$U:$U,"2023-24",Weekly_Local!$T:$T,$A29))</f>
        <v>5</v>
      </c>
      <c r="D29" s="5">
        <f>IF(COUNTIFS(Weekly_Local!$U:$U,"2024-25",Weekly_Local!$T:$T,$A29,Weekly_Local!$B:$B,"&lt;&gt;")=0,"",SUMIFS(Weekly_Local!$B:$B,Weekly_Local!$U:$U,"2024-25",Weekly_Local!$T:$T,$A29))</f>
        <v>0</v>
      </c>
      <c r="E29" s="5">
        <f>IF(COUNTIFS(Weekly_Local!$U:$U,"2025-26",Weekly_Local!$T:$T,$A29,Weekly_Local!$B:$B,"&lt;&gt;")=0,"",SUMIFS(Weekly_Local!$B:$B,Weekly_Local!$U:$U,"2025-26",Weekly_Local!$T:$T,$A29))</f>
        <v>2</v>
      </c>
      <c r="F29" s="5" t="str">
        <f>IF(COUNTIFS(Weekly_Local!$U:$U,"2026-27",Weekly_Local!$T:$T,$A29,Weekly_Local!$B:$B,"&lt;&gt;")=0,"",SUMIFS(Weekly_Local!$B:$B,Weekly_Local!$U:$U,"2026-27",Weekly_Local!$T:$T,$A29))</f>
        <v/>
      </c>
      <c r="G29" s="5" t="str">
        <f>IF(AND($A29=53,DATE(YEAR(Config!$B$3),1,4)-WEEKDAY(DATE(YEAR(Config!$B$3),1,4))+1+364&gt;=DATE(YEAR(Config!$B$3)+1,1,4)-WEEKDAY(DATE(YEAR(Config!$B$3)+1,1,4))+1),"",TEXT(DATE(YEAR(Config!$B$3)+IF($A29&gt;=36,0,1),1,4)-WEEKDAY(DATE(YEAR(Config!$B$3)+IF($A29&gt;=36,0,1),1,4))+1+7*($A29-1)+1,"m/d/yy")&amp;" – "&amp;TEXT(DATE(YEAR(Config!$B$3)+IF($A29&gt;=36,0,1),1,4)-WEEKDAY(DATE(YEAR(Config!$B$3)+IF($A29&gt;=36,0,1),1,4))+1+7*($A29-1)+7,"m/d/yy"))</f>
        <v>2/15/27 – 2/21/27</v>
      </c>
    </row>
    <row r="30" spans="1:7" x14ac:dyDescent="0.2">
      <c r="A30" s="5">
        <v>8</v>
      </c>
      <c r="B30" s="5">
        <f>IF(COUNTIFS(Weekly_Local!$U:$U,"2022-23",Weekly_Local!$T:$T,$A30,Weekly_Local!$B:$B,"&lt;&gt;")=0,"",SUMIFS(Weekly_Local!$B:$B,Weekly_Local!$U:$U,"2022-23",Weekly_Local!$T:$T,$A30))</f>
        <v>5</v>
      </c>
      <c r="C30" s="5">
        <f>IF(COUNTIFS(Weekly_Local!$U:$U,"2023-24",Weekly_Local!$T:$T,$A30,Weekly_Local!$B:$B,"&lt;&gt;")=0,"",SUMIFS(Weekly_Local!$B:$B,Weekly_Local!$U:$U,"2023-24",Weekly_Local!$T:$T,$A30))</f>
        <v>3</v>
      </c>
      <c r="D30" s="5">
        <f>IF(COUNTIFS(Weekly_Local!$U:$U,"2024-25",Weekly_Local!$T:$T,$A30,Weekly_Local!$B:$B,"&lt;&gt;")=0,"",SUMIFS(Weekly_Local!$B:$B,Weekly_Local!$U:$U,"2024-25",Weekly_Local!$T:$T,$A30))</f>
        <v>0</v>
      </c>
      <c r="E30" s="5">
        <f>IF(COUNTIFS(Weekly_Local!$U:$U,"2025-26",Weekly_Local!$T:$T,$A30,Weekly_Local!$B:$B,"&lt;&gt;")=0,"",SUMIFS(Weekly_Local!$B:$B,Weekly_Local!$U:$U,"2025-26",Weekly_Local!$T:$T,$A30))</f>
        <v>2</v>
      </c>
      <c r="F30" s="5" t="str">
        <f>IF(COUNTIFS(Weekly_Local!$U:$U,"2026-27",Weekly_Local!$T:$T,$A30,Weekly_Local!$B:$B,"&lt;&gt;")=0,"",SUMIFS(Weekly_Local!$B:$B,Weekly_Local!$U:$U,"2026-27",Weekly_Local!$T:$T,$A30))</f>
        <v/>
      </c>
      <c r="G30" s="5" t="str">
        <f>IF(AND($A30=53,DATE(YEAR(Config!$B$3),1,4)-WEEKDAY(DATE(YEAR(Config!$B$3),1,4))+1+364&gt;=DATE(YEAR(Config!$B$3)+1,1,4)-WEEKDAY(DATE(YEAR(Config!$B$3)+1,1,4))+1),"",TEXT(DATE(YEAR(Config!$B$3)+IF($A30&gt;=36,0,1),1,4)-WEEKDAY(DATE(YEAR(Config!$B$3)+IF($A30&gt;=36,0,1),1,4))+1+7*($A30-1)+1,"m/d/yy")&amp;" – "&amp;TEXT(DATE(YEAR(Config!$B$3)+IF($A30&gt;=36,0,1),1,4)-WEEKDAY(DATE(YEAR(Config!$B$3)+IF($A30&gt;=36,0,1),1,4))+1+7*($A30-1)+7,"m/d/yy"))</f>
        <v>2/22/27 – 2/28/27</v>
      </c>
    </row>
    <row r="31" spans="1:7" x14ac:dyDescent="0.2">
      <c r="A31" s="5">
        <v>9</v>
      </c>
      <c r="B31" s="5">
        <f>IF(COUNTIFS(Weekly_Local!$U:$U,"2022-23",Weekly_Local!$T:$T,$A31,Weekly_Local!$B:$B,"&lt;&gt;")=0,"",SUMIFS(Weekly_Local!$B:$B,Weekly_Local!$U:$U,"2022-23",Weekly_Local!$T:$T,$A31))</f>
        <v>4</v>
      </c>
      <c r="C31" s="5">
        <f>IF(COUNTIFS(Weekly_Local!$U:$U,"2023-24",Weekly_Local!$T:$T,$A31,Weekly_Local!$B:$B,"&lt;&gt;")=0,"",SUMIFS(Weekly_Local!$B:$B,Weekly_Local!$U:$U,"2023-24",Weekly_Local!$T:$T,$A31))</f>
        <v>2</v>
      </c>
      <c r="D31" s="5">
        <f>IF(COUNTIFS(Weekly_Local!$U:$U,"2024-25",Weekly_Local!$T:$T,$A31,Weekly_Local!$B:$B,"&lt;&gt;")=0,"",SUMIFS(Weekly_Local!$B:$B,Weekly_Local!$U:$U,"2024-25",Weekly_Local!$T:$T,$A31))</f>
        <v>2</v>
      </c>
      <c r="E31" s="5">
        <f>IF(COUNTIFS(Weekly_Local!$U:$U,"2025-26",Weekly_Local!$T:$T,$A31,Weekly_Local!$B:$B,"&lt;&gt;")=0,"",SUMIFS(Weekly_Local!$B:$B,Weekly_Local!$U:$U,"2025-26",Weekly_Local!$T:$T,$A31))</f>
        <v>0</v>
      </c>
      <c r="F31" s="5" t="str">
        <f>IF(COUNTIFS(Weekly_Local!$U:$U,"2026-27",Weekly_Local!$T:$T,$A31,Weekly_Local!$B:$B,"&lt;&gt;")=0,"",SUMIFS(Weekly_Local!$B:$B,Weekly_Local!$U:$U,"2026-27",Weekly_Local!$T:$T,$A31))</f>
        <v/>
      </c>
      <c r="G31" s="5" t="str">
        <f>IF(AND($A31=53,DATE(YEAR(Config!$B$3),1,4)-WEEKDAY(DATE(YEAR(Config!$B$3),1,4))+1+364&gt;=DATE(YEAR(Config!$B$3)+1,1,4)-WEEKDAY(DATE(YEAR(Config!$B$3)+1,1,4))+1),"",TEXT(DATE(YEAR(Config!$B$3)+IF($A31&gt;=36,0,1),1,4)-WEEKDAY(DATE(YEAR(Config!$B$3)+IF($A31&gt;=36,0,1),1,4))+1+7*($A31-1)+1,"m/d/yy")&amp;" – "&amp;TEXT(DATE(YEAR(Config!$B$3)+IF($A31&gt;=36,0,1),1,4)-WEEKDAY(DATE(YEAR(Config!$B$3)+IF($A31&gt;=36,0,1),1,4))+1+7*($A31-1)+7,"m/d/yy"))</f>
        <v>3/1/27 – 3/7/27</v>
      </c>
    </row>
    <row r="32" spans="1:7" x14ac:dyDescent="0.2">
      <c r="A32" s="5">
        <v>10</v>
      </c>
      <c r="B32" s="5">
        <f>IF(COUNTIFS(Weekly_Local!$U:$U,"2022-23",Weekly_Local!$T:$T,$A32,Weekly_Local!$B:$B,"&lt;&gt;")=0,"",SUMIFS(Weekly_Local!$B:$B,Weekly_Local!$U:$U,"2022-23",Weekly_Local!$T:$T,$A32))</f>
        <v>3</v>
      </c>
      <c r="C32" s="5">
        <f>IF(COUNTIFS(Weekly_Local!$U:$U,"2023-24",Weekly_Local!$T:$T,$A32,Weekly_Local!$B:$B,"&lt;&gt;")=0,"",SUMIFS(Weekly_Local!$B:$B,Weekly_Local!$U:$U,"2023-24",Weekly_Local!$T:$T,$A32))</f>
        <v>0</v>
      </c>
      <c r="D32" s="5">
        <f>IF(COUNTIFS(Weekly_Local!$U:$U,"2024-25",Weekly_Local!$T:$T,$A32,Weekly_Local!$B:$B,"&lt;&gt;")=0,"",SUMIFS(Weekly_Local!$B:$B,Weekly_Local!$U:$U,"2024-25",Weekly_Local!$T:$T,$A32))</f>
        <v>1</v>
      </c>
      <c r="E32" s="5">
        <f>IF(COUNTIFS(Weekly_Local!$U:$U,"2025-26",Weekly_Local!$T:$T,$A32,Weekly_Local!$B:$B,"&lt;&gt;")=0,"",SUMIFS(Weekly_Local!$B:$B,Weekly_Local!$U:$U,"2025-26",Weekly_Local!$T:$T,$A32))</f>
        <v>0</v>
      </c>
      <c r="F32" s="5" t="str">
        <f>IF(COUNTIFS(Weekly_Local!$U:$U,"2026-27",Weekly_Local!$T:$T,$A32,Weekly_Local!$B:$B,"&lt;&gt;")=0,"",SUMIFS(Weekly_Local!$B:$B,Weekly_Local!$U:$U,"2026-27",Weekly_Local!$T:$T,$A32))</f>
        <v/>
      </c>
      <c r="G32" s="5" t="str">
        <f>IF(AND($A32=53,DATE(YEAR(Config!$B$3),1,4)-WEEKDAY(DATE(YEAR(Config!$B$3),1,4))+1+364&gt;=DATE(YEAR(Config!$B$3)+1,1,4)-WEEKDAY(DATE(YEAR(Config!$B$3)+1,1,4))+1),"",TEXT(DATE(YEAR(Config!$B$3)+IF($A32&gt;=36,0,1),1,4)-WEEKDAY(DATE(YEAR(Config!$B$3)+IF($A32&gt;=36,0,1),1,4))+1+7*($A32-1)+1,"m/d/yy")&amp;" – "&amp;TEXT(DATE(YEAR(Config!$B$3)+IF($A32&gt;=36,0,1),1,4)-WEEKDAY(DATE(YEAR(Config!$B$3)+IF($A32&gt;=36,0,1),1,4))+1+7*($A32-1)+7,"m/d/yy"))</f>
        <v>3/8/27 – 3/14/27</v>
      </c>
    </row>
    <row r="33" spans="1:7" x14ac:dyDescent="0.2">
      <c r="A33" s="5">
        <v>11</v>
      </c>
      <c r="B33" s="5">
        <f>IF(COUNTIFS(Weekly_Local!$U:$U,"2022-23",Weekly_Local!$T:$T,$A33,Weekly_Local!$B:$B,"&lt;&gt;")=0,"",SUMIFS(Weekly_Local!$B:$B,Weekly_Local!$U:$U,"2022-23",Weekly_Local!$T:$T,$A33))</f>
        <v>5</v>
      </c>
      <c r="C33" s="5">
        <f>IF(COUNTIFS(Weekly_Local!$U:$U,"2023-24",Weekly_Local!$T:$T,$A33,Weekly_Local!$B:$B,"&lt;&gt;")=0,"",SUMIFS(Weekly_Local!$B:$B,Weekly_Local!$U:$U,"2023-24",Weekly_Local!$T:$T,$A33))</f>
        <v>1</v>
      </c>
      <c r="D33" s="5">
        <f>IF(COUNTIFS(Weekly_Local!$U:$U,"2024-25",Weekly_Local!$T:$T,$A33,Weekly_Local!$B:$B,"&lt;&gt;")=0,"",SUMIFS(Weekly_Local!$B:$B,Weekly_Local!$U:$U,"2024-25",Weekly_Local!$T:$T,$A33))</f>
        <v>1</v>
      </c>
      <c r="E33" s="5">
        <f>IF(COUNTIFS(Weekly_Local!$U:$U,"2025-26",Weekly_Local!$T:$T,$A33,Weekly_Local!$B:$B,"&lt;&gt;")=0,"",SUMIFS(Weekly_Local!$B:$B,Weekly_Local!$U:$U,"2025-26",Weekly_Local!$T:$T,$A33))</f>
        <v>4</v>
      </c>
      <c r="F33" s="5" t="str">
        <f>IF(COUNTIFS(Weekly_Local!$U:$U,"2026-27",Weekly_Local!$T:$T,$A33,Weekly_Local!$B:$B,"&lt;&gt;")=0,"",SUMIFS(Weekly_Local!$B:$B,Weekly_Local!$U:$U,"2026-27",Weekly_Local!$T:$T,$A33))</f>
        <v/>
      </c>
      <c r="G33" s="5" t="str">
        <f>IF(AND($A33=53,DATE(YEAR(Config!$B$3),1,4)-WEEKDAY(DATE(YEAR(Config!$B$3),1,4))+1+364&gt;=DATE(YEAR(Config!$B$3)+1,1,4)-WEEKDAY(DATE(YEAR(Config!$B$3)+1,1,4))+1),"",TEXT(DATE(YEAR(Config!$B$3)+IF($A33&gt;=36,0,1),1,4)-WEEKDAY(DATE(YEAR(Config!$B$3)+IF($A33&gt;=36,0,1),1,4))+1+7*($A33-1)+1,"m/d/yy")&amp;" – "&amp;TEXT(DATE(YEAR(Config!$B$3)+IF($A33&gt;=36,0,1),1,4)-WEEKDAY(DATE(YEAR(Config!$B$3)+IF($A33&gt;=36,0,1),1,4))+1+7*($A33-1)+7,"m/d/yy"))</f>
        <v>3/15/27 – 3/21/27</v>
      </c>
    </row>
    <row r="34" spans="1:7" x14ac:dyDescent="0.2">
      <c r="A34" s="5">
        <v>12</v>
      </c>
      <c r="B34" s="5">
        <f>IF(COUNTIFS(Weekly_Local!$U:$U,"2022-23",Weekly_Local!$T:$T,$A34,Weekly_Local!$B:$B,"&lt;&gt;")=0,"",SUMIFS(Weekly_Local!$B:$B,Weekly_Local!$U:$U,"2022-23",Weekly_Local!$T:$T,$A34))</f>
        <v>1</v>
      </c>
      <c r="C34" s="5">
        <f>IF(COUNTIFS(Weekly_Local!$U:$U,"2023-24",Weekly_Local!$T:$T,$A34,Weekly_Local!$B:$B,"&lt;&gt;")=0,"",SUMIFS(Weekly_Local!$B:$B,Weekly_Local!$U:$U,"2023-24",Weekly_Local!$T:$T,$A34))</f>
        <v>1</v>
      </c>
      <c r="D34" s="5">
        <f>IF(COUNTIFS(Weekly_Local!$U:$U,"2024-25",Weekly_Local!$T:$T,$A34,Weekly_Local!$B:$B,"&lt;&gt;")=0,"",SUMIFS(Weekly_Local!$B:$B,Weekly_Local!$U:$U,"2024-25",Weekly_Local!$T:$T,$A34))</f>
        <v>0</v>
      </c>
      <c r="E34" s="5">
        <f>IF(COUNTIFS(Weekly_Local!$U:$U,"2025-26",Weekly_Local!$T:$T,$A34,Weekly_Local!$B:$B,"&lt;&gt;")=0,"",SUMIFS(Weekly_Local!$B:$B,Weekly_Local!$U:$U,"2025-26",Weekly_Local!$T:$T,$A34))</f>
        <v>1</v>
      </c>
      <c r="F34" s="5" t="str">
        <f>IF(COUNTIFS(Weekly_Local!$U:$U,"2026-27",Weekly_Local!$T:$T,$A34,Weekly_Local!$B:$B,"&lt;&gt;")=0,"",SUMIFS(Weekly_Local!$B:$B,Weekly_Local!$U:$U,"2026-27",Weekly_Local!$T:$T,$A34))</f>
        <v/>
      </c>
      <c r="G34" s="5" t="str">
        <f>IF(AND($A34=53,DATE(YEAR(Config!$B$3),1,4)-WEEKDAY(DATE(YEAR(Config!$B$3),1,4))+1+364&gt;=DATE(YEAR(Config!$B$3)+1,1,4)-WEEKDAY(DATE(YEAR(Config!$B$3)+1,1,4))+1),"",TEXT(DATE(YEAR(Config!$B$3)+IF($A34&gt;=36,0,1),1,4)-WEEKDAY(DATE(YEAR(Config!$B$3)+IF($A34&gt;=36,0,1),1,4))+1+7*($A34-1)+1,"m/d/yy")&amp;" – "&amp;TEXT(DATE(YEAR(Config!$B$3)+IF($A34&gt;=36,0,1),1,4)-WEEKDAY(DATE(YEAR(Config!$B$3)+IF($A34&gt;=36,0,1),1,4))+1+7*($A34-1)+7,"m/d/yy"))</f>
        <v>3/22/27 – 3/28/27</v>
      </c>
    </row>
    <row r="35" spans="1:7" x14ac:dyDescent="0.2">
      <c r="A35" s="5">
        <v>13</v>
      </c>
      <c r="B35" s="5">
        <f>IF(COUNTIFS(Weekly_Local!$U:$U,"2022-23",Weekly_Local!$T:$T,$A35,Weekly_Local!$B:$B,"&lt;&gt;")=0,"",SUMIFS(Weekly_Local!$B:$B,Weekly_Local!$U:$U,"2022-23",Weekly_Local!$T:$T,$A35))</f>
        <v>4</v>
      </c>
      <c r="C35" s="5">
        <f>IF(COUNTIFS(Weekly_Local!$U:$U,"2023-24",Weekly_Local!$T:$T,$A35,Weekly_Local!$B:$B,"&lt;&gt;")=0,"",SUMIFS(Weekly_Local!$B:$B,Weekly_Local!$U:$U,"2023-24",Weekly_Local!$T:$T,$A35))</f>
        <v>0</v>
      </c>
      <c r="D35" s="5">
        <f>IF(COUNTIFS(Weekly_Local!$U:$U,"2024-25",Weekly_Local!$T:$T,$A35,Weekly_Local!$B:$B,"&lt;&gt;")=0,"",SUMIFS(Weekly_Local!$B:$B,Weekly_Local!$U:$U,"2024-25",Weekly_Local!$T:$T,$A35))</f>
        <v>4</v>
      </c>
      <c r="E35" s="5">
        <f>IF(COUNTIFS(Weekly_Local!$U:$U,"2025-26",Weekly_Local!$T:$T,$A35,Weekly_Local!$B:$B,"&lt;&gt;")=0,"",SUMIFS(Weekly_Local!$B:$B,Weekly_Local!$U:$U,"2025-26",Weekly_Local!$T:$T,$A35))</f>
        <v>1</v>
      </c>
      <c r="F35" s="5" t="str">
        <f>IF(COUNTIFS(Weekly_Local!$U:$U,"2026-27",Weekly_Local!$T:$T,$A35,Weekly_Local!$B:$B,"&lt;&gt;")=0,"",SUMIFS(Weekly_Local!$B:$B,Weekly_Local!$U:$U,"2026-27",Weekly_Local!$T:$T,$A35))</f>
        <v/>
      </c>
      <c r="G35" s="5" t="str">
        <f>IF(AND($A35=53,DATE(YEAR(Config!$B$3),1,4)-WEEKDAY(DATE(YEAR(Config!$B$3),1,4))+1+364&gt;=DATE(YEAR(Config!$B$3)+1,1,4)-WEEKDAY(DATE(YEAR(Config!$B$3)+1,1,4))+1),"",TEXT(DATE(YEAR(Config!$B$3)+IF($A35&gt;=36,0,1),1,4)-WEEKDAY(DATE(YEAR(Config!$B$3)+IF($A35&gt;=36,0,1),1,4))+1+7*($A35-1)+1,"m/d/yy")&amp;" – "&amp;TEXT(DATE(YEAR(Config!$B$3)+IF($A35&gt;=36,0,1),1,4)-WEEKDAY(DATE(YEAR(Config!$B$3)+IF($A35&gt;=36,0,1),1,4))+1+7*($A35-1)+7,"m/d/yy"))</f>
        <v>3/29/27 – 4/4/27</v>
      </c>
    </row>
    <row r="36" spans="1:7" x14ac:dyDescent="0.2">
      <c r="A36" s="5">
        <v>14</v>
      </c>
      <c r="B36" s="5">
        <f>IF(COUNTIFS(Weekly_Local!$U:$U,"2022-23",Weekly_Local!$T:$T,$A36,Weekly_Local!$B:$B,"&lt;&gt;")=0,"",SUMIFS(Weekly_Local!$B:$B,Weekly_Local!$U:$U,"2022-23",Weekly_Local!$T:$T,$A36))</f>
        <v>3</v>
      </c>
      <c r="C36" s="5">
        <f>IF(COUNTIFS(Weekly_Local!$U:$U,"2023-24",Weekly_Local!$T:$T,$A36,Weekly_Local!$B:$B,"&lt;&gt;")=0,"",SUMIFS(Weekly_Local!$B:$B,Weekly_Local!$U:$U,"2023-24",Weekly_Local!$T:$T,$A36))</f>
        <v>1</v>
      </c>
      <c r="D36" s="5">
        <f>IF(COUNTIFS(Weekly_Local!$U:$U,"2024-25",Weekly_Local!$T:$T,$A36,Weekly_Local!$B:$B,"&lt;&gt;")=0,"",SUMIFS(Weekly_Local!$B:$B,Weekly_Local!$U:$U,"2024-25",Weekly_Local!$T:$T,$A36))</f>
        <v>1</v>
      </c>
      <c r="E36" s="5">
        <f>IF(COUNTIFS(Weekly_Local!$U:$U,"2025-26",Weekly_Local!$T:$T,$A36,Weekly_Local!$B:$B,"&lt;&gt;")=0,"",SUMIFS(Weekly_Local!$B:$B,Weekly_Local!$U:$U,"2025-26",Weekly_Local!$T:$T,$A36))</f>
        <v>1</v>
      </c>
      <c r="F36" s="5" t="str">
        <f>IF(COUNTIFS(Weekly_Local!$U:$U,"2026-27",Weekly_Local!$T:$T,$A36,Weekly_Local!$B:$B,"&lt;&gt;")=0,"",SUMIFS(Weekly_Local!$B:$B,Weekly_Local!$U:$U,"2026-27",Weekly_Local!$T:$T,$A36))</f>
        <v/>
      </c>
      <c r="G36" s="5" t="str">
        <f>IF(AND($A36=53,DATE(YEAR(Config!$B$3),1,4)-WEEKDAY(DATE(YEAR(Config!$B$3),1,4))+1+364&gt;=DATE(YEAR(Config!$B$3)+1,1,4)-WEEKDAY(DATE(YEAR(Config!$B$3)+1,1,4))+1),"",TEXT(DATE(YEAR(Config!$B$3)+IF($A36&gt;=36,0,1),1,4)-WEEKDAY(DATE(YEAR(Config!$B$3)+IF($A36&gt;=36,0,1),1,4))+1+7*($A36-1)+1,"m/d/yy")&amp;" – "&amp;TEXT(DATE(YEAR(Config!$B$3)+IF($A36&gt;=36,0,1),1,4)-WEEKDAY(DATE(YEAR(Config!$B$3)+IF($A36&gt;=36,0,1),1,4))+1+7*($A36-1)+7,"m/d/yy"))</f>
        <v>4/5/27 – 4/11/27</v>
      </c>
    </row>
    <row r="37" spans="1:7" x14ac:dyDescent="0.2">
      <c r="A37" s="5">
        <v>15</v>
      </c>
      <c r="B37" s="5">
        <f>IF(COUNTIFS(Weekly_Local!$U:$U,"2022-23",Weekly_Local!$T:$T,$A37,Weekly_Local!$B:$B,"&lt;&gt;")=0,"",SUMIFS(Weekly_Local!$B:$B,Weekly_Local!$U:$U,"2022-23",Weekly_Local!$T:$T,$A37))</f>
        <v>1</v>
      </c>
      <c r="C37" s="5">
        <f>IF(COUNTIFS(Weekly_Local!$U:$U,"2023-24",Weekly_Local!$T:$T,$A37,Weekly_Local!$B:$B,"&lt;&gt;")=0,"",SUMIFS(Weekly_Local!$B:$B,Weekly_Local!$U:$U,"2023-24",Weekly_Local!$T:$T,$A37))</f>
        <v>1</v>
      </c>
      <c r="D37" s="5">
        <f>IF(COUNTIFS(Weekly_Local!$U:$U,"2024-25",Weekly_Local!$T:$T,$A37,Weekly_Local!$B:$B,"&lt;&gt;")=0,"",SUMIFS(Weekly_Local!$B:$B,Weekly_Local!$U:$U,"2024-25",Weekly_Local!$T:$T,$A37))</f>
        <v>1</v>
      </c>
      <c r="E37" s="5">
        <f>IF(COUNTIFS(Weekly_Local!$U:$U,"2025-26",Weekly_Local!$T:$T,$A37,Weekly_Local!$B:$B,"&lt;&gt;")=0,"",SUMIFS(Weekly_Local!$B:$B,Weekly_Local!$U:$U,"2025-26",Weekly_Local!$T:$T,$A37))</f>
        <v>5</v>
      </c>
      <c r="F37" s="5" t="str">
        <f>IF(COUNTIFS(Weekly_Local!$U:$U,"2026-27",Weekly_Local!$T:$T,$A37,Weekly_Local!$B:$B,"&lt;&gt;")=0,"",SUMIFS(Weekly_Local!$B:$B,Weekly_Local!$U:$U,"2026-27",Weekly_Local!$T:$T,$A37))</f>
        <v/>
      </c>
      <c r="G37" s="5" t="str">
        <f>IF(AND($A37=53,DATE(YEAR(Config!$B$3),1,4)-WEEKDAY(DATE(YEAR(Config!$B$3),1,4))+1+364&gt;=DATE(YEAR(Config!$B$3)+1,1,4)-WEEKDAY(DATE(YEAR(Config!$B$3)+1,1,4))+1),"",TEXT(DATE(YEAR(Config!$B$3)+IF($A37&gt;=36,0,1),1,4)-WEEKDAY(DATE(YEAR(Config!$B$3)+IF($A37&gt;=36,0,1),1,4))+1+7*($A37-1)+1,"m/d/yy")&amp;" – "&amp;TEXT(DATE(YEAR(Config!$B$3)+IF($A37&gt;=36,0,1),1,4)-WEEKDAY(DATE(YEAR(Config!$B$3)+IF($A37&gt;=36,0,1),1,4))+1+7*($A37-1)+7,"m/d/yy"))</f>
        <v>4/12/27 – 4/18/27</v>
      </c>
    </row>
    <row r="38" spans="1:7" x14ac:dyDescent="0.2">
      <c r="A38" s="5">
        <v>16</v>
      </c>
      <c r="B38" s="5">
        <f>IF(COUNTIFS(Weekly_Local!$U:$U,"2022-23",Weekly_Local!$T:$T,$A38,Weekly_Local!$B:$B,"&lt;&gt;")=0,"",SUMIFS(Weekly_Local!$B:$B,Weekly_Local!$U:$U,"2022-23",Weekly_Local!$T:$T,$A38))</f>
        <v>1</v>
      </c>
      <c r="C38" s="5">
        <f>IF(COUNTIFS(Weekly_Local!$U:$U,"2023-24",Weekly_Local!$T:$T,$A38,Weekly_Local!$B:$B,"&lt;&gt;")=0,"",SUMIFS(Weekly_Local!$B:$B,Weekly_Local!$U:$U,"2023-24",Weekly_Local!$T:$T,$A38))</f>
        <v>1</v>
      </c>
      <c r="D38" s="5">
        <f>IF(COUNTIFS(Weekly_Local!$U:$U,"2024-25",Weekly_Local!$T:$T,$A38,Weekly_Local!$B:$B,"&lt;&gt;")=0,"",SUMIFS(Weekly_Local!$B:$B,Weekly_Local!$U:$U,"2024-25",Weekly_Local!$T:$T,$A38))</f>
        <v>4</v>
      </c>
      <c r="E38" s="5">
        <f>IF(COUNTIFS(Weekly_Local!$U:$U,"2025-26",Weekly_Local!$T:$T,$A38,Weekly_Local!$B:$B,"&lt;&gt;")=0,"",SUMIFS(Weekly_Local!$B:$B,Weekly_Local!$U:$U,"2025-26",Weekly_Local!$T:$T,$A38))</f>
        <v>1</v>
      </c>
      <c r="F38" s="5" t="str">
        <f>IF(COUNTIFS(Weekly_Local!$U:$U,"2026-27",Weekly_Local!$T:$T,$A38,Weekly_Local!$B:$B,"&lt;&gt;")=0,"",SUMIFS(Weekly_Local!$B:$B,Weekly_Local!$U:$U,"2026-27",Weekly_Local!$T:$T,$A38))</f>
        <v/>
      </c>
      <c r="G38" s="5" t="str">
        <f>IF(AND($A38=53,DATE(YEAR(Config!$B$3),1,4)-WEEKDAY(DATE(YEAR(Config!$B$3),1,4))+1+364&gt;=DATE(YEAR(Config!$B$3)+1,1,4)-WEEKDAY(DATE(YEAR(Config!$B$3)+1,1,4))+1),"",TEXT(DATE(YEAR(Config!$B$3)+IF($A38&gt;=36,0,1),1,4)-WEEKDAY(DATE(YEAR(Config!$B$3)+IF($A38&gt;=36,0,1),1,4))+1+7*($A38-1)+1,"m/d/yy")&amp;" – "&amp;TEXT(DATE(YEAR(Config!$B$3)+IF($A38&gt;=36,0,1),1,4)-WEEKDAY(DATE(YEAR(Config!$B$3)+IF($A38&gt;=36,0,1),1,4))+1+7*($A38-1)+7,"m/d/yy"))</f>
        <v>4/19/27 – 4/25/27</v>
      </c>
    </row>
    <row r="39" spans="1:7" x14ac:dyDescent="0.2">
      <c r="A39" s="5">
        <v>17</v>
      </c>
      <c r="B39" s="5">
        <f>IF(COUNTIFS(Weekly_Local!$U:$U,"2022-23",Weekly_Local!$T:$T,$A39,Weekly_Local!$B:$B,"&lt;&gt;")=0,"",SUMIFS(Weekly_Local!$B:$B,Weekly_Local!$U:$U,"2022-23",Weekly_Local!$T:$T,$A39))</f>
        <v>2</v>
      </c>
      <c r="C39" s="5">
        <f>IF(COUNTIFS(Weekly_Local!$U:$U,"2023-24",Weekly_Local!$T:$T,$A39,Weekly_Local!$B:$B,"&lt;&gt;")=0,"",SUMIFS(Weekly_Local!$B:$B,Weekly_Local!$U:$U,"2023-24",Weekly_Local!$T:$T,$A39))</f>
        <v>0</v>
      </c>
      <c r="D39" s="5">
        <f>IF(COUNTIFS(Weekly_Local!$U:$U,"2024-25",Weekly_Local!$T:$T,$A39,Weekly_Local!$B:$B,"&lt;&gt;")=0,"",SUMIFS(Weekly_Local!$B:$B,Weekly_Local!$U:$U,"2024-25",Weekly_Local!$T:$T,$A39))</f>
        <v>1</v>
      </c>
      <c r="E39" s="5">
        <f>IF(COUNTIFS(Weekly_Local!$U:$U,"2025-26",Weekly_Local!$T:$T,$A39,Weekly_Local!$B:$B,"&lt;&gt;")=0,"",SUMIFS(Weekly_Local!$B:$B,Weekly_Local!$U:$U,"2025-26",Weekly_Local!$T:$T,$A39))</f>
        <v>0</v>
      </c>
      <c r="F39" s="5" t="str">
        <f>IF(COUNTIFS(Weekly_Local!$U:$U,"2026-27",Weekly_Local!$T:$T,$A39,Weekly_Local!$B:$B,"&lt;&gt;")=0,"",SUMIFS(Weekly_Local!$B:$B,Weekly_Local!$U:$U,"2026-27",Weekly_Local!$T:$T,$A39))</f>
        <v/>
      </c>
      <c r="G39" s="5" t="str">
        <f>IF(AND($A39=53,DATE(YEAR(Config!$B$3),1,4)-WEEKDAY(DATE(YEAR(Config!$B$3),1,4))+1+364&gt;=DATE(YEAR(Config!$B$3)+1,1,4)-WEEKDAY(DATE(YEAR(Config!$B$3)+1,1,4))+1),"",TEXT(DATE(YEAR(Config!$B$3)+IF($A39&gt;=36,0,1),1,4)-WEEKDAY(DATE(YEAR(Config!$B$3)+IF($A39&gt;=36,0,1),1,4))+1+7*($A39-1)+1,"m/d/yy")&amp;" – "&amp;TEXT(DATE(YEAR(Config!$B$3)+IF($A39&gt;=36,0,1),1,4)-WEEKDAY(DATE(YEAR(Config!$B$3)+IF($A39&gt;=36,0,1),1,4))+1+7*($A39-1)+7,"m/d/yy"))</f>
        <v>4/26/27 – 5/2/27</v>
      </c>
    </row>
    <row r="40" spans="1:7" x14ac:dyDescent="0.2">
      <c r="A40" s="5">
        <v>18</v>
      </c>
      <c r="B40" s="5">
        <f>IF(COUNTIFS(Weekly_Local!$U:$U,"2022-23",Weekly_Local!$T:$T,$A40,Weekly_Local!$B:$B,"&lt;&gt;")=0,"",SUMIFS(Weekly_Local!$B:$B,Weekly_Local!$U:$U,"2022-23",Weekly_Local!$T:$T,$A40))</f>
        <v>1</v>
      </c>
      <c r="C40" s="5">
        <f>IF(COUNTIFS(Weekly_Local!$U:$U,"2023-24",Weekly_Local!$T:$T,$A40,Weekly_Local!$B:$B,"&lt;&gt;")=0,"",SUMIFS(Weekly_Local!$B:$B,Weekly_Local!$U:$U,"2023-24",Weekly_Local!$T:$T,$A40))</f>
        <v>0</v>
      </c>
      <c r="D40" s="5">
        <f>IF(COUNTIFS(Weekly_Local!$U:$U,"2024-25",Weekly_Local!$T:$T,$A40,Weekly_Local!$B:$B,"&lt;&gt;")=0,"",SUMIFS(Weekly_Local!$B:$B,Weekly_Local!$U:$U,"2024-25",Weekly_Local!$T:$T,$A40))</f>
        <v>2</v>
      </c>
      <c r="E40" s="5">
        <f>IF(COUNTIFS(Weekly_Local!$U:$U,"2025-26",Weekly_Local!$T:$T,$A40,Weekly_Local!$B:$B,"&lt;&gt;")=0,"",SUMIFS(Weekly_Local!$B:$B,Weekly_Local!$U:$U,"2025-26",Weekly_Local!$T:$T,$A40))</f>
        <v>0</v>
      </c>
      <c r="F40" s="5" t="str">
        <f>IF(COUNTIFS(Weekly_Local!$U:$U,"2026-27",Weekly_Local!$T:$T,$A40,Weekly_Local!$B:$B,"&lt;&gt;")=0,"",SUMIFS(Weekly_Local!$B:$B,Weekly_Local!$U:$U,"2026-27",Weekly_Local!$T:$T,$A40))</f>
        <v/>
      </c>
      <c r="G40" s="5" t="str">
        <f>IF(AND($A40=53,DATE(YEAR(Config!$B$3),1,4)-WEEKDAY(DATE(YEAR(Config!$B$3),1,4))+1+364&gt;=DATE(YEAR(Config!$B$3)+1,1,4)-WEEKDAY(DATE(YEAR(Config!$B$3)+1,1,4))+1),"",TEXT(DATE(YEAR(Config!$B$3)+IF($A40&gt;=36,0,1),1,4)-WEEKDAY(DATE(YEAR(Config!$B$3)+IF($A40&gt;=36,0,1),1,4))+1+7*($A40-1)+1,"m/d/yy")&amp;" – "&amp;TEXT(DATE(YEAR(Config!$B$3)+IF($A40&gt;=36,0,1),1,4)-WEEKDAY(DATE(YEAR(Config!$B$3)+IF($A40&gt;=36,0,1),1,4))+1+7*($A40-1)+7,"m/d/yy"))</f>
        <v>5/3/27 – 5/9/27</v>
      </c>
    </row>
    <row r="41" spans="1:7" x14ac:dyDescent="0.2">
      <c r="A41" s="5">
        <v>19</v>
      </c>
      <c r="B41" s="5">
        <f>IF(COUNTIFS(Weekly_Local!$U:$U,"2022-23",Weekly_Local!$T:$T,$A41,Weekly_Local!$B:$B,"&lt;&gt;")=0,"",SUMIFS(Weekly_Local!$B:$B,Weekly_Local!$U:$U,"2022-23",Weekly_Local!$T:$T,$A41))</f>
        <v>2</v>
      </c>
      <c r="C41" s="5">
        <f>IF(COUNTIFS(Weekly_Local!$U:$U,"2023-24",Weekly_Local!$T:$T,$A41,Weekly_Local!$B:$B,"&lt;&gt;")=0,"",SUMIFS(Weekly_Local!$B:$B,Weekly_Local!$U:$U,"2023-24",Weekly_Local!$T:$T,$A41))</f>
        <v>1</v>
      </c>
      <c r="D41" s="5">
        <f>IF(COUNTIFS(Weekly_Local!$U:$U,"2024-25",Weekly_Local!$T:$T,$A41,Weekly_Local!$B:$B,"&lt;&gt;")=0,"",SUMIFS(Weekly_Local!$B:$B,Weekly_Local!$U:$U,"2024-25",Weekly_Local!$T:$T,$A41))</f>
        <v>1</v>
      </c>
      <c r="E41" s="5">
        <f>IF(COUNTIFS(Weekly_Local!$U:$U,"2025-26",Weekly_Local!$T:$T,$A41,Weekly_Local!$B:$B,"&lt;&gt;")=0,"",SUMIFS(Weekly_Local!$B:$B,Weekly_Local!$U:$U,"2025-26",Weekly_Local!$T:$T,$A41))</f>
        <v>0</v>
      </c>
      <c r="F41" s="5" t="str">
        <f>IF(COUNTIFS(Weekly_Local!$U:$U,"2026-27",Weekly_Local!$T:$T,$A41,Weekly_Local!$B:$B,"&lt;&gt;")=0,"",SUMIFS(Weekly_Local!$B:$B,Weekly_Local!$U:$U,"2026-27",Weekly_Local!$T:$T,$A41))</f>
        <v/>
      </c>
      <c r="G41" s="5" t="str">
        <f>IF(AND($A41=53,DATE(YEAR(Config!$B$3),1,4)-WEEKDAY(DATE(YEAR(Config!$B$3),1,4))+1+364&gt;=DATE(YEAR(Config!$B$3)+1,1,4)-WEEKDAY(DATE(YEAR(Config!$B$3)+1,1,4))+1),"",TEXT(DATE(YEAR(Config!$B$3)+IF($A41&gt;=36,0,1),1,4)-WEEKDAY(DATE(YEAR(Config!$B$3)+IF($A41&gt;=36,0,1),1,4))+1+7*($A41-1)+1,"m/d/yy")&amp;" – "&amp;TEXT(DATE(YEAR(Config!$B$3)+IF($A41&gt;=36,0,1),1,4)-WEEKDAY(DATE(YEAR(Config!$B$3)+IF($A41&gt;=36,0,1),1,4))+1+7*($A41-1)+7,"m/d/yy"))</f>
        <v>5/10/27 – 5/16/27</v>
      </c>
    </row>
    <row r="42" spans="1:7" x14ac:dyDescent="0.2">
      <c r="A42" s="5">
        <v>20</v>
      </c>
      <c r="B42" s="5">
        <f>IF(COUNTIFS(Weekly_Local!$U:$U,"2022-23",Weekly_Local!$T:$T,$A42,Weekly_Local!$B:$B,"&lt;&gt;")=0,"",SUMIFS(Weekly_Local!$B:$B,Weekly_Local!$U:$U,"2022-23",Weekly_Local!$T:$T,$A42))</f>
        <v>1</v>
      </c>
      <c r="C42" s="5">
        <f>IF(COUNTIFS(Weekly_Local!$U:$U,"2023-24",Weekly_Local!$T:$T,$A42,Weekly_Local!$B:$B,"&lt;&gt;")=0,"",SUMIFS(Weekly_Local!$B:$B,Weekly_Local!$U:$U,"2023-24",Weekly_Local!$T:$T,$A42))</f>
        <v>0</v>
      </c>
      <c r="D42" s="5">
        <f>IF(COUNTIFS(Weekly_Local!$U:$U,"2024-25",Weekly_Local!$T:$T,$A42,Weekly_Local!$B:$B,"&lt;&gt;")=0,"",SUMIFS(Weekly_Local!$B:$B,Weekly_Local!$U:$U,"2024-25",Weekly_Local!$T:$T,$A42))</f>
        <v>0</v>
      </c>
      <c r="E42" s="5">
        <f>IF(COUNTIFS(Weekly_Local!$U:$U,"2025-26",Weekly_Local!$T:$T,$A42,Weekly_Local!$B:$B,"&lt;&gt;")=0,"",SUMIFS(Weekly_Local!$B:$B,Weekly_Local!$U:$U,"2025-26",Weekly_Local!$T:$T,$A42))</f>
        <v>1</v>
      </c>
      <c r="F42" s="5" t="str">
        <f>IF(COUNTIFS(Weekly_Local!$U:$U,"2026-27",Weekly_Local!$T:$T,$A42,Weekly_Local!$B:$B,"&lt;&gt;")=0,"",SUMIFS(Weekly_Local!$B:$B,Weekly_Local!$U:$U,"2026-27",Weekly_Local!$T:$T,$A42))</f>
        <v/>
      </c>
      <c r="G42" s="5" t="str">
        <f>IF(AND($A42=53,DATE(YEAR(Config!$B$3),1,4)-WEEKDAY(DATE(YEAR(Config!$B$3),1,4))+1+364&gt;=DATE(YEAR(Config!$B$3)+1,1,4)-WEEKDAY(DATE(YEAR(Config!$B$3)+1,1,4))+1),"",TEXT(DATE(YEAR(Config!$B$3)+IF($A42&gt;=36,0,1),1,4)-WEEKDAY(DATE(YEAR(Config!$B$3)+IF($A42&gt;=36,0,1),1,4))+1+7*($A42-1)+1,"m/d/yy")&amp;" – "&amp;TEXT(DATE(YEAR(Config!$B$3)+IF($A42&gt;=36,0,1),1,4)-WEEKDAY(DATE(YEAR(Config!$B$3)+IF($A42&gt;=36,0,1),1,4))+1+7*($A42-1)+7,"m/d/yy"))</f>
        <v>5/17/27 – 5/23/27</v>
      </c>
    </row>
    <row r="43" spans="1:7" x14ac:dyDescent="0.2">
      <c r="A43" s="5">
        <v>21</v>
      </c>
      <c r="B43" s="5">
        <f>IF(COUNTIFS(Weekly_Local!$U:$U,"2022-23",Weekly_Local!$T:$T,$A43,Weekly_Local!$B:$B,"&lt;&gt;")=0,"",SUMIFS(Weekly_Local!$B:$B,Weekly_Local!$U:$U,"2022-23",Weekly_Local!$T:$T,$A43))</f>
        <v>1</v>
      </c>
      <c r="C43" s="5">
        <f>IF(COUNTIFS(Weekly_Local!$U:$U,"2023-24",Weekly_Local!$T:$T,$A43,Weekly_Local!$B:$B,"&lt;&gt;")=0,"",SUMIFS(Weekly_Local!$B:$B,Weekly_Local!$U:$U,"2023-24",Weekly_Local!$T:$T,$A43))</f>
        <v>2</v>
      </c>
      <c r="D43" s="5">
        <f>IF(COUNTIFS(Weekly_Local!$U:$U,"2024-25",Weekly_Local!$T:$T,$A43,Weekly_Local!$B:$B,"&lt;&gt;")=0,"",SUMIFS(Weekly_Local!$B:$B,Weekly_Local!$U:$U,"2024-25",Weekly_Local!$T:$T,$A43))</f>
        <v>1</v>
      </c>
      <c r="E43" s="5">
        <f>IF(COUNTIFS(Weekly_Local!$U:$U,"2025-26",Weekly_Local!$T:$T,$A43,Weekly_Local!$B:$B,"&lt;&gt;")=0,"",SUMIFS(Weekly_Local!$B:$B,Weekly_Local!$U:$U,"2025-26",Weekly_Local!$T:$T,$A43))</f>
        <v>1</v>
      </c>
      <c r="F43" s="5" t="str">
        <f>IF(COUNTIFS(Weekly_Local!$U:$U,"2026-27",Weekly_Local!$T:$T,$A43,Weekly_Local!$B:$B,"&lt;&gt;")=0,"",SUMIFS(Weekly_Local!$B:$B,Weekly_Local!$U:$U,"2026-27",Weekly_Local!$T:$T,$A43))</f>
        <v/>
      </c>
      <c r="G43" s="5" t="str">
        <f>IF(AND($A43=53,DATE(YEAR(Config!$B$3),1,4)-WEEKDAY(DATE(YEAR(Config!$B$3),1,4))+1+364&gt;=DATE(YEAR(Config!$B$3)+1,1,4)-WEEKDAY(DATE(YEAR(Config!$B$3)+1,1,4))+1),"",TEXT(DATE(YEAR(Config!$B$3)+IF($A43&gt;=36,0,1),1,4)-WEEKDAY(DATE(YEAR(Config!$B$3)+IF($A43&gt;=36,0,1),1,4))+1+7*($A43-1)+1,"m/d/yy")&amp;" – "&amp;TEXT(DATE(YEAR(Config!$B$3)+IF($A43&gt;=36,0,1),1,4)-WEEKDAY(DATE(YEAR(Config!$B$3)+IF($A43&gt;=36,0,1),1,4))+1+7*($A43-1)+7,"m/d/yy"))</f>
        <v>5/24/27 – 5/30/27</v>
      </c>
    </row>
    <row r="44" spans="1:7" x14ac:dyDescent="0.2">
      <c r="A44" s="5">
        <v>22</v>
      </c>
      <c r="B44" s="5">
        <f>IF(COUNTIFS(Weekly_Local!$U:$U,"2022-23",Weekly_Local!$T:$T,$A44,Weekly_Local!$B:$B,"&lt;&gt;")=0,"",SUMIFS(Weekly_Local!$B:$B,Weekly_Local!$U:$U,"2022-23",Weekly_Local!$T:$T,$A44))</f>
        <v>0</v>
      </c>
      <c r="C44" s="5">
        <f>IF(COUNTIFS(Weekly_Local!$U:$U,"2023-24",Weekly_Local!$T:$T,$A44,Weekly_Local!$B:$B,"&lt;&gt;")=0,"",SUMIFS(Weekly_Local!$B:$B,Weekly_Local!$U:$U,"2023-24",Weekly_Local!$T:$T,$A44))</f>
        <v>1</v>
      </c>
      <c r="D44" s="5">
        <f>IF(COUNTIFS(Weekly_Local!$U:$U,"2024-25",Weekly_Local!$T:$T,$A44,Weekly_Local!$B:$B,"&lt;&gt;")=0,"",SUMIFS(Weekly_Local!$B:$B,Weekly_Local!$U:$U,"2024-25",Weekly_Local!$T:$T,$A44))</f>
        <v>1</v>
      </c>
      <c r="E44" s="5">
        <f>IF(COUNTIFS(Weekly_Local!$U:$U,"2025-26",Weekly_Local!$T:$T,$A44,Weekly_Local!$B:$B,"&lt;&gt;")=0,"",SUMIFS(Weekly_Local!$B:$B,Weekly_Local!$U:$U,"2025-26",Weekly_Local!$T:$T,$A44))</f>
        <v>0</v>
      </c>
      <c r="F44" s="5" t="str">
        <f>IF(COUNTIFS(Weekly_Local!$U:$U,"2026-27",Weekly_Local!$T:$T,$A44,Weekly_Local!$B:$B,"&lt;&gt;")=0,"",SUMIFS(Weekly_Local!$B:$B,Weekly_Local!$U:$U,"2026-27",Weekly_Local!$T:$T,$A44))</f>
        <v/>
      </c>
      <c r="G44" s="5" t="str">
        <f>IF(AND($A44=53,DATE(YEAR(Config!$B$3),1,4)-WEEKDAY(DATE(YEAR(Config!$B$3),1,4))+1+364&gt;=DATE(YEAR(Config!$B$3)+1,1,4)-WEEKDAY(DATE(YEAR(Config!$B$3)+1,1,4))+1),"",TEXT(DATE(YEAR(Config!$B$3)+IF($A44&gt;=36,0,1),1,4)-WEEKDAY(DATE(YEAR(Config!$B$3)+IF($A44&gt;=36,0,1),1,4))+1+7*($A44-1)+1,"m/d/yy")&amp;" – "&amp;TEXT(DATE(YEAR(Config!$B$3)+IF($A44&gt;=36,0,1),1,4)-WEEKDAY(DATE(YEAR(Config!$B$3)+IF($A44&gt;=36,0,1),1,4))+1+7*($A44-1)+7,"m/d/yy"))</f>
        <v>5/31/27 – 6/6/27</v>
      </c>
    </row>
    <row r="45" spans="1:7" x14ac:dyDescent="0.2">
      <c r="A45" s="5">
        <v>23</v>
      </c>
      <c r="B45" s="5">
        <f>IF(COUNTIFS(Weekly_Local!$U:$U,"2022-23",Weekly_Local!$T:$T,$A45,Weekly_Local!$B:$B,"&lt;&gt;")=0,"",SUMIFS(Weekly_Local!$B:$B,Weekly_Local!$U:$U,"2022-23",Weekly_Local!$T:$T,$A45))</f>
        <v>5</v>
      </c>
      <c r="C45" s="5">
        <f>IF(COUNTIFS(Weekly_Local!$U:$U,"2023-24",Weekly_Local!$T:$T,$A45,Weekly_Local!$B:$B,"&lt;&gt;")=0,"",SUMIFS(Weekly_Local!$B:$B,Weekly_Local!$U:$U,"2023-24",Weekly_Local!$T:$T,$A45))</f>
        <v>1</v>
      </c>
      <c r="D45" s="5">
        <f>IF(COUNTIFS(Weekly_Local!$U:$U,"2024-25",Weekly_Local!$T:$T,$A45,Weekly_Local!$B:$B,"&lt;&gt;")=0,"",SUMIFS(Weekly_Local!$B:$B,Weekly_Local!$U:$U,"2024-25",Weekly_Local!$T:$T,$A45))</f>
        <v>0</v>
      </c>
      <c r="E45" s="5">
        <f>IF(COUNTIFS(Weekly_Local!$U:$U,"2025-26",Weekly_Local!$T:$T,$A45,Weekly_Local!$B:$B,"&lt;&gt;")=0,"",SUMIFS(Weekly_Local!$B:$B,Weekly_Local!$U:$U,"2025-26",Weekly_Local!$T:$T,$A45))</f>
        <v>0</v>
      </c>
      <c r="F45" s="5" t="str">
        <f>IF(COUNTIFS(Weekly_Local!$U:$U,"2026-27",Weekly_Local!$T:$T,$A45,Weekly_Local!$B:$B,"&lt;&gt;")=0,"",SUMIFS(Weekly_Local!$B:$B,Weekly_Local!$U:$U,"2026-27",Weekly_Local!$T:$T,$A45))</f>
        <v/>
      </c>
      <c r="G45" s="5" t="str">
        <f>IF(AND($A45=53,DATE(YEAR(Config!$B$3),1,4)-WEEKDAY(DATE(YEAR(Config!$B$3),1,4))+1+364&gt;=DATE(YEAR(Config!$B$3)+1,1,4)-WEEKDAY(DATE(YEAR(Config!$B$3)+1,1,4))+1),"",TEXT(DATE(YEAR(Config!$B$3)+IF($A45&gt;=36,0,1),1,4)-WEEKDAY(DATE(YEAR(Config!$B$3)+IF($A45&gt;=36,0,1),1,4))+1+7*($A45-1)+1,"m/d/yy")&amp;" – "&amp;TEXT(DATE(YEAR(Config!$B$3)+IF($A45&gt;=36,0,1),1,4)-WEEKDAY(DATE(YEAR(Config!$B$3)+IF($A45&gt;=36,0,1),1,4))+1+7*($A45-1)+7,"m/d/yy"))</f>
        <v>6/7/27 – 6/13/27</v>
      </c>
    </row>
    <row r="46" spans="1:7" x14ac:dyDescent="0.2">
      <c r="A46" s="5">
        <v>24</v>
      </c>
      <c r="B46" s="5">
        <f>IF(COUNTIFS(Weekly_Local!$U:$U,"2022-23",Weekly_Local!$T:$T,$A46,Weekly_Local!$B:$B,"&lt;&gt;")=0,"",SUMIFS(Weekly_Local!$B:$B,Weekly_Local!$U:$U,"2022-23",Weekly_Local!$T:$T,$A46))</f>
        <v>5</v>
      </c>
      <c r="C46" s="5">
        <f>IF(COUNTIFS(Weekly_Local!$U:$U,"2023-24",Weekly_Local!$T:$T,$A46,Weekly_Local!$B:$B,"&lt;&gt;")=0,"",SUMIFS(Weekly_Local!$B:$B,Weekly_Local!$U:$U,"2023-24",Weekly_Local!$T:$T,$A46))</f>
        <v>2</v>
      </c>
      <c r="D46" s="5">
        <f>IF(COUNTIFS(Weekly_Local!$U:$U,"2024-25",Weekly_Local!$T:$T,$A46,Weekly_Local!$B:$B,"&lt;&gt;")=0,"",SUMIFS(Weekly_Local!$B:$B,Weekly_Local!$U:$U,"2024-25",Weekly_Local!$T:$T,$A46))</f>
        <v>0</v>
      </c>
      <c r="E46" s="5">
        <f>IF(COUNTIFS(Weekly_Local!$U:$U,"2025-26",Weekly_Local!$T:$T,$A46,Weekly_Local!$B:$B,"&lt;&gt;")=0,"",SUMIFS(Weekly_Local!$B:$B,Weekly_Local!$U:$U,"2025-26",Weekly_Local!$T:$T,$A46))</f>
        <v>0</v>
      </c>
      <c r="F46" s="5" t="str">
        <f>IF(COUNTIFS(Weekly_Local!$U:$U,"2026-27",Weekly_Local!$T:$T,$A46,Weekly_Local!$B:$B,"&lt;&gt;")=0,"",SUMIFS(Weekly_Local!$B:$B,Weekly_Local!$U:$U,"2026-27",Weekly_Local!$T:$T,$A46))</f>
        <v/>
      </c>
      <c r="G46" s="5" t="str">
        <f>IF(AND($A46=53,DATE(YEAR(Config!$B$3),1,4)-WEEKDAY(DATE(YEAR(Config!$B$3),1,4))+1+364&gt;=DATE(YEAR(Config!$B$3)+1,1,4)-WEEKDAY(DATE(YEAR(Config!$B$3)+1,1,4))+1),"",TEXT(DATE(YEAR(Config!$B$3)+IF($A46&gt;=36,0,1),1,4)-WEEKDAY(DATE(YEAR(Config!$B$3)+IF($A46&gt;=36,0,1),1,4))+1+7*($A46-1)+1,"m/d/yy")&amp;" – "&amp;TEXT(DATE(YEAR(Config!$B$3)+IF($A46&gt;=36,0,1),1,4)-WEEKDAY(DATE(YEAR(Config!$B$3)+IF($A46&gt;=36,0,1),1,4))+1+7*($A46-1)+7,"m/d/yy"))</f>
        <v>6/14/27 – 6/20/27</v>
      </c>
    </row>
    <row r="47" spans="1:7" x14ac:dyDescent="0.2">
      <c r="A47" s="5">
        <v>25</v>
      </c>
      <c r="B47" s="5">
        <f>IF(COUNTIFS(Weekly_Local!$U:$U,"2022-23",Weekly_Local!$T:$T,$A47,Weekly_Local!$B:$B,"&lt;&gt;")=0,"",SUMIFS(Weekly_Local!$B:$B,Weekly_Local!$U:$U,"2022-23",Weekly_Local!$T:$T,$A47))</f>
        <v>2</v>
      </c>
      <c r="C47" s="5">
        <f>IF(COUNTIFS(Weekly_Local!$U:$U,"2023-24",Weekly_Local!$T:$T,$A47,Weekly_Local!$B:$B,"&lt;&gt;")=0,"",SUMIFS(Weekly_Local!$B:$B,Weekly_Local!$U:$U,"2023-24",Weekly_Local!$T:$T,$A47))</f>
        <v>4</v>
      </c>
      <c r="D47" s="5">
        <f>IF(COUNTIFS(Weekly_Local!$U:$U,"2024-25",Weekly_Local!$T:$T,$A47,Weekly_Local!$B:$B,"&lt;&gt;")=0,"",SUMIFS(Weekly_Local!$B:$B,Weekly_Local!$U:$U,"2024-25",Weekly_Local!$T:$T,$A47))</f>
        <v>1</v>
      </c>
      <c r="E47" s="5">
        <f>IF(COUNTIFS(Weekly_Local!$U:$U,"2025-26",Weekly_Local!$T:$T,$A47,Weekly_Local!$B:$B,"&lt;&gt;")=0,"",SUMIFS(Weekly_Local!$B:$B,Weekly_Local!$U:$U,"2025-26",Weekly_Local!$T:$T,$A47))</f>
        <v>0</v>
      </c>
      <c r="F47" s="5" t="str">
        <f>IF(COUNTIFS(Weekly_Local!$U:$U,"2026-27",Weekly_Local!$T:$T,$A47,Weekly_Local!$B:$B,"&lt;&gt;")=0,"",SUMIFS(Weekly_Local!$B:$B,Weekly_Local!$U:$U,"2026-27",Weekly_Local!$T:$T,$A47))</f>
        <v/>
      </c>
      <c r="G47" s="5" t="str">
        <f>IF(AND($A47=53,DATE(YEAR(Config!$B$3),1,4)-WEEKDAY(DATE(YEAR(Config!$B$3),1,4))+1+364&gt;=DATE(YEAR(Config!$B$3)+1,1,4)-WEEKDAY(DATE(YEAR(Config!$B$3)+1,1,4))+1),"",TEXT(DATE(YEAR(Config!$B$3)+IF($A47&gt;=36,0,1),1,4)-WEEKDAY(DATE(YEAR(Config!$B$3)+IF($A47&gt;=36,0,1),1,4))+1+7*($A47-1)+1,"m/d/yy")&amp;" – "&amp;TEXT(DATE(YEAR(Config!$B$3)+IF($A47&gt;=36,0,1),1,4)-WEEKDAY(DATE(YEAR(Config!$B$3)+IF($A47&gt;=36,0,1),1,4))+1+7*($A47-1)+7,"m/d/yy"))</f>
        <v>6/21/27 – 6/27/27</v>
      </c>
    </row>
    <row r="48" spans="1:7" x14ac:dyDescent="0.2">
      <c r="A48" s="5">
        <v>26</v>
      </c>
      <c r="B48" s="5">
        <f>IF(COUNTIFS(Weekly_Local!$U:$U,"2022-23",Weekly_Local!$T:$T,$A48,Weekly_Local!$B:$B,"&lt;&gt;")=0,"",SUMIFS(Weekly_Local!$B:$B,Weekly_Local!$U:$U,"2022-23",Weekly_Local!$T:$T,$A48))</f>
        <v>0</v>
      </c>
      <c r="C48" s="5">
        <f>IF(COUNTIFS(Weekly_Local!$U:$U,"2023-24",Weekly_Local!$T:$T,$A48,Weekly_Local!$B:$B,"&lt;&gt;")=0,"",SUMIFS(Weekly_Local!$B:$B,Weekly_Local!$U:$U,"2023-24",Weekly_Local!$T:$T,$A48))</f>
        <v>2</v>
      </c>
      <c r="D48" s="5">
        <f>IF(COUNTIFS(Weekly_Local!$U:$U,"2024-25",Weekly_Local!$T:$T,$A48,Weekly_Local!$B:$B,"&lt;&gt;")=0,"",SUMIFS(Weekly_Local!$B:$B,Weekly_Local!$U:$U,"2024-25",Weekly_Local!$T:$T,$A48))</f>
        <v>0</v>
      </c>
      <c r="E48" s="5">
        <f>IF(COUNTIFS(Weekly_Local!$U:$U,"2025-26",Weekly_Local!$T:$T,$A48,Weekly_Local!$B:$B,"&lt;&gt;")=0,"",SUMIFS(Weekly_Local!$B:$B,Weekly_Local!$U:$U,"2025-26",Weekly_Local!$T:$T,$A48))</f>
        <v>0</v>
      </c>
      <c r="F48" s="5" t="str">
        <f>IF(COUNTIFS(Weekly_Local!$U:$U,"2026-27",Weekly_Local!$T:$T,$A48,Weekly_Local!$B:$B,"&lt;&gt;")=0,"",SUMIFS(Weekly_Local!$B:$B,Weekly_Local!$U:$U,"2026-27",Weekly_Local!$T:$T,$A48))</f>
        <v/>
      </c>
      <c r="G48" s="5" t="str">
        <f>IF(AND($A48=53,DATE(YEAR(Config!$B$3),1,4)-WEEKDAY(DATE(YEAR(Config!$B$3),1,4))+1+364&gt;=DATE(YEAR(Config!$B$3)+1,1,4)-WEEKDAY(DATE(YEAR(Config!$B$3)+1,1,4))+1),"",TEXT(DATE(YEAR(Config!$B$3)+IF($A48&gt;=36,0,1),1,4)-WEEKDAY(DATE(YEAR(Config!$B$3)+IF($A48&gt;=36,0,1),1,4))+1+7*($A48-1)+1,"m/d/yy")&amp;" – "&amp;TEXT(DATE(YEAR(Config!$B$3)+IF($A48&gt;=36,0,1),1,4)-WEEKDAY(DATE(YEAR(Config!$B$3)+IF($A48&gt;=36,0,1),1,4))+1+7*($A48-1)+7,"m/d/yy"))</f>
        <v>6/28/27 – 7/4/27</v>
      </c>
    </row>
    <row r="49" spans="1:7" x14ac:dyDescent="0.2">
      <c r="A49" s="5">
        <v>27</v>
      </c>
      <c r="B49" s="5">
        <f>IF(COUNTIFS(Weekly_Local!$U:$U,"2022-23",Weekly_Local!$T:$T,$A49,Weekly_Local!$B:$B,"&lt;&gt;")=0,"",SUMIFS(Weekly_Local!$B:$B,Weekly_Local!$U:$U,"2022-23",Weekly_Local!$T:$T,$A49))</f>
        <v>3</v>
      </c>
      <c r="C49" s="5">
        <f>IF(COUNTIFS(Weekly_Local!$U:$U,"2023-24",Weekly_Local!$T:$T,$A49,Weekly_Local!$B:$B,"&lt;&gt;")=0,"",SUMIFS(Weekly_Local!$B:$B,Weekly_Local!$U:$U,"2023-24",Weekly_Local!$T:$T,$A49))</f>
        <v>4</v>
      </c>
      <c r="D49" s="5">
        <f>IF(COUNTIFS(Weekly_Local!$U:$U,"2024-25",Weekly_Local!$T:$T,$A49,Weekly_Local!$B:$B,"&lt;&gt;")=0,"",SUMIFS(Weekly_Local!$B:$B,Weekly_Local!$U:$U,"2024-25",Weekly_Local!$T:$T,$A49))</f>
        <v>0</v>
      </c>
      <c r="E49" s="5">
        <f>IF(COUNTIFS(Weekly_Local!$U:$U,"2025-26",Weekly_Local!$T:$T,$A49,Weekly_Local!$B:$B,"&lt;&gt;")=0,"",SUMIFS(Weekly_Local!$B:$B,Weekly_Local!$U:$U,"2025-26",Weekly_Local!$T:$T,$A49))</f>
        <v>1</v>
      </c>
      <c r="F49" s="5" t="str">
        <f>IF(COUNTIFS(Weekly_Local!$U:$U,"2026-27",Weekly_Local!$T:$T,$A49,Weekly_Local!$B:$B,"&lt;&gt;")=0,"",SUMIFS(Weekly_Local!$B:$B,Weekly_Local!$U:$U,"2026-27",Weekly_Local!$T:$T,$A49))</f>
        <v/>
      </c>
      <c r="G49" s="5" t="str">
        <f>IF(AND($A49=53,DATE(YEAR(Config!$B$3),1,4)-WEEKDAY(DATE(YEAR(Config!$B$3),1,4))+1+364&gt;=DATE(YEAR(Config!$B$3)+1,1,4)-WEEKDAY(DATE(YEAR(Config!$B$3)+1,1,4))+1),"",TEXT(DATE(YEAR(Config!$B$3)+IF($A49&gt;=36,0,1),1,4)-WEEKDAY(DATE(YEAR(Config!$B$3)+IF($A49&gt;=36,0,1),1,4))+1+7*($A49-1)+1,"m/d/yy")&amp;" – "&amp;TEXT(DATE(YEAR(Config!$B$3)+IF($A49&gt;=36,0,1),1,4)-WEEKDAY(DATE(YEAR(Config!$B$3)+IF($A49&gt;=36,0,1),1,4))+1+7*($A49-1)+7,"m/d/yy"))</f>
        <v>7/5/27 – 7/11/27</v>
      </c>
    </row>
    <row r="50" spans="1:7" x14ac:dyDescent="0.2">
      <c r="A50" s="5">
        <v>28</v>
      </c>
      <c r="B50" s="5">
        <f>IF(COUNTIFS(Weekly_Local!$U:$U,"2022-23",Weekly_Local!$T:$T,$A50,Weekly_Local!$B:$B,"&lt;&gt;")=0,"",SUMIFS(Weekly_Local!$B:$B,Weekly_Local!$U:$U,"2022-23",Weekly_Local!$T:$T,$A50))</f>
        <v>0</v>
      </c>
      <c r="C50" s="5">
        <f>IF(COUNTIFS(Weekly_Local!$U:$U,"2023-24",Weekly_Local!$T:$T,$A50,Weekly_Local!$B:$B,"&lt;&gt;")=0,"",SUMIFS(Weekly_Local!$B:$B,Weekly_Local!$U:$U,"2023-24",Weekly_Local!$T:$T,$A50))</f>
        <v>1</v>
      </c>
      <c r="D50" s="5">
        <f>IF(COUNTIFS(Weekly_Local!$U:$U,"2024-25",Weekly_Local!$T:$T,$A50,Weekly_Local!$B:$B,"&lt;&gt;")=0,"",SUMIFS(Weekly_Local!$B:$B,Weekly_Local!$U:$U,"2024-25",Weekly_Local!$T:$T,$A50))</f>
        <v>2</v>
      </c>
      <c r="E50" s="5">
        <f>IF(COUNTIFS(Weekly_Local!$U:$U,"2025-26",Weekly_Local!$T:$T,$A50,Weekly_Local!$B:$B,"&lt;&gt;")=0,"",SUMIFS(Weekly_Local!$B:$B,Weekly_Local!$U:$U,"2025-26",Weekly_Local!$T:$T,$A50))</f>
        <v>0</v>
      </c>
      <c r="F50" s="5" t="str">
        <f>IF(COUNTIFS(Weekly_Local!$U:$U,"2026-27",Weekly_Local!$T:$T,$A50,Weekly_Local!$B:$B,"&lt;&gt;")=0,"",SUMIFS(Weekly_Local!$B:$B,Weekly_Local!$U:$U,"2026-27",Weekly_Local!$T:$T,$A50))</f>
        <v/>
      </c>
      <c r="G50" s="5" t="str">
        <f>IF(AND($A50=53,DATE(YEAR(Config!$B$3),1,4)-WEEKDAY(DATE(YEAR(Config!$B$3),1,4))+1+364&gt;=DATE(YEAR(Config!$B$3)+1,1,4)-WEEKDAY(DATE(YEAR(Config!$B$3)+1,1,4))+1),"",TEXT(DATE(YEAR(Config!$B$3)+IF($A50&gt;=36,0,1),1,4)-WEEKDAY(DATE(YEAR(Config!$B$3)+IF($A50&gt;=36,0,1),1,4))+1+7*($A50-1)+1,"m/d/yy")&amp;" – "&amp;TEXT(DATE(YEAR(Config!$B$3)+IF($A50&gt;=36,0,1),1,4)-WEEKDAY(DATE(YEAR(Config!$B$3)+IF($A50&gt;=36,0,1),1,4))+1+7*($A50-1)+7,"m/d/yy"))</f>
        <v>7/12/27 – 7/18/27</v>
      </c>
    </row>
    <row r="51" spans="1:7" x14ac:dyDescent="0.2">
      <c r="A51" s="5">
        <v>29</v>
      </c>
      <c r="B51" s="5">
        <f>IF(COUNTIFS(Weekly_Local!$U:$U,"2022-23",Weekly_Local!$T:$T,$A51,Weekly_Local!$B:$B,"&lt;&gt;")=0,"",SUMIFS(Weekly_Local!$B:$B,Weekly_Local!$U:$U,"2022-23",Weekly_Local!$T:$T,$A51))</f>
        <v>4</v>
      </c>
      <c r="C51" s="5">
        <f>IF(COUNTIFS(Weekly_Local!$U:$U,"2023-24",Weekly_Local!$T:$T,$A51,Weekly_Local!$B:$B,"&lt;&gt;")=0,"",SUMIFS(Weekly_Local!$B:$B,Weekly_Local!$U:$U,"2023-24",Weekly_Local!$T:$T,$A51))</f>
        <v>6</v>
      </c>
      <c r="D51" s="5">
        <f>IF(COUNTIFS(Weekly_Local!$U:$U,"2024-25",Weekly_Local!$T:$T,$A51,Weekly_Local!$B:$B,"&lt;&gt;")=0,"",SUMIFS(Weekly_Local!$B:$B,Weekly_Local!$U:$U,"2024-25",Weekly_Local!$T:$T,$A51))</f>
        <v>3</v>
      </c>
      <c r="E51" s="5">
        <f>IF(COUNTIFS(Weekly_Local!$U:$U,"2025-26",Weekly_Local!$T:$T,$A51,Weekly_Local!$B:$B,"&lt;&gt;")=0,"",SUMIFS(Weekly_Local!$B:$B,Weekly_Local!$U:$U,"2025-26",Weekly_Local!$T:$T,$A51))</f>
        <v>1</v>
      </c>
      <c r="F51" s="5" t="str">
        <f>IF(COUNTIFS(Weekly_Local!$U:$U,"2026-27",Weekly_Local!$T:$T,$A51,Weekly_Local!$B:$B,"&lt;&gt;")=0,"",SUMIFS(Weekly_Local!$B:$B,Weekly_Local!$U:$U,"2026-27",Weekly_Local!$T:$T,$A51))</f>
        <v/>
      </c>
      <c r="G51" s="5" t="str">
        <f>IF(AND($A51=53,DATE(YEAR(Config!$B$3),1,4)-WEEKDAY(DATE(YEAR(Config!$B$3),1,4))+1+364&gt;=DATE(YEAR(Config!$B$3)+1,1,4)-WEEKDAY(DATE(YEAR(Config!$B$3)+1,1,4))+1),"",TEXT(DATE(YEAR(Config!$B$3)+IF($A51&gt;=36,0,1),1,4)-WEEKDAY(DATE(YEAR(Config!$B$3)+IF($A51&gt;=36,0,1),1,4))+1+7*($A51-1)+1,"m/d/yy")&amp;" – "&amp;TEXT(DATE(YEAR(Config!$B$3)+IF($A51&gt;=36,0,1),1,4)-WEEKDAY(DATE(YEAR(Config!$B$3)+IF($A51&gt;=36,0,1),1,4))+1+7*($A51-1)+7,"m/d/yy"))</f>
        <v>7/19/27 – 7/25/27</v>
      </c>
    </row>
    <row r="52" spans="1:7" x14ac:dyDescent="0.2">
      <c r="A52" s="5">
        <v>30</v>
      </c>
      <c r="B52" s="5">
        <f>IF(COUNTIFS(Weekly_Local!$U:$U,"2022-23",Weekly_Local!$T:$T,$A52,Weekly_Local!$B:$B,"&lt;&gt;")=0,"",SUMIFS(Weekly_Local!$B:$B,Weekly_Local!$U:$U,"2022-23",Weekly_Local!$T:$T,$A52))</f>
        <v>3</v>
      </c>
      <c r="C52" s="5">
        <f>IF(COUNTIFS(Weekly_Local!$U:$U,"2023-24",Weekly_Local!$T:$T,$A52,Weekly_Local!$B:$B,"&lt;&gt;")=0,"",SUMIFS(Weekly_Local!$B:$B,Weekly_Local!$U:$U,"2023-24",Weekly_Local!$T:$T,$A52))</f>
        <v>4</v>
      </c>
      <c r="D52" s="5">
        <f>IF(COUNTIFS(Weekly_Local!$U:$U,"2024-25",Weekly_Local!$T:$T,$A52,Weekly_Local!$B:$B,"&lt;&gt;")=0,"",SUMIFS(Weekly_Local!$B:$B,Weekly_Local!$U:$U,"2024-25",Weekly_Local!$T:$T,$A52))</f>
        <v>2</v>
      </c>
      <c r="E52" s="5">
        <f>IF(COUNTIFS(Weekly_Local!$U:$U,"2025-26",Weekly_Local!$T:$T,$A52,Weekly_Local!$B:$B,"&lt;&gt;")=0,"",SUMIFS(Weekly_Local!$B:$B,Weekly_Local!$U:$U,"2025-26",Weekly_Local!$T:$T,$A52))</f>
        <v>1</v>
      </c>
      <c r="F52" s="5" t="str">
        <f>IF(COUNTIFS(Weekly_Local!$U:$U,"2026-27",Weekly_Local!$T:$T,$A52,Weekly_Local!$B:$B,"&lt;&gt;")=0,"",SUMIFS(Weekly_Local!$B:$B,Weekly_Local!$U:$U,"2026-27",Weekly_Local!$T:$T,$A52))</f>
        <v/>
      </c>
      <c r="G52" s="5" t="str">
        <f>IF(AND($A52=53,DATE(YEAR(Config!$B$3),1,4)-WEEKDAY(DATE(YEAR(Config!$B$3),1,4))+1+364&gt;=DATE(YEAR(Config!$B$3)+1,1,4)-WEEKDAY(DATE(YEAR(Config!$B$3)+1,1,4))+1),"",TEXT(DATE(YEAR(Config!$B$3)+IF($A52&gt;=36,0,1),1,4)-WEEKDAY(DATE(YEAR(Config!$B$3)+IF($A52&gt;=36,0,1),1,4))+1+7*($A52-1)+1,"m/d/yy")&amp;" – "&amp;TEXT(DATE(YEAR(Config!$B$3)+IF($A52&gt;=36,0,1),1,4)-WEEKDAY(DATE(YEAR(Config!$B$3)+IF($A52&gt;=36,0,1),1,4))+1+7*($A52-1)+7,"m/d/yy"))</f>
        <v>7/26/27 – 8/1/27</v>
      </c>
    </row>
    <row r="53" spans="1:7" x14ac:dyDescent="0.2">
      <c r="A53" s="5">
        <v>31</v>
      </c>
      <c r="B53" s="5">
        <f>IF(COUNTIFS(Weekly_Local!$U:$U,"2022-23",Weekly_Local!$T:$T,$A53,Weekly_Local!$B:$B,"&lt;&gt;")=0,"",SUMIFS(Weekly_Local!$B:$B,Weekly_Local!$U:$U,"2022-23",Weekly_Local!$T:$T,$A53))</f>
        <v>1</v>
      </c>
      <c r="C53" s="5">
        <f>IF(COUNTIFS(Weekly_Local!$U:$U,"2023-24",Weekly_Local!$T:$T,$A53,Weekly_Local!$B:$B,"&lt;&gt;")=0,"",SUMIFS(Weekly_Local!$B:$B,Weekly_Local!$U:$U,"2023-24",Weekly_Local!$T:$T,$A53))</f>
        <v>2</v>
      </c>
      <c r="D53" s="5">
        <f>IF(COUNTIFS(Weekly_Local!$U:$U,"2024-25",Weekly_Local!$T:$T,$A53,Weekly_Local!$B:$B,"&lt;&gt;")=0,"",SUMIFS(Weekly_Local!$B:$B,Weekly_Local!$U:$U,"2024-25",Weekly_Local!$T:$T,$A53))</f>
        <v>1</v>
      </c>
      <c r="E53" s="5">
        <f>IF(COUNTIFS(Weekly_Local!$U:$U,"2025-26",Weekly_Local!$T:$T,$A53,Weekly_Local!$B:$B,"&lt;&gt;")=0,"",SUMIFS(Weekly_Local!$B:$B,Weekly_Local!$U:$U,"2025-26",Weekly_Local!$T:$T,$A53))</f>
        <v>0</v>
      </c>
      <c r="F53" s="5" t="str">
        <f>IF(COUNTIFS(Weekly_Local!$U:$U,"2026-27",Weekly_Local!$T:$T,$A53,Weekly_Local!$B:$B,"&lt;&gt;")=0,"",SUMIFS(Weekly_Local!$B:$B,Weekly_Local!$U:$U,"2026-27",Weekly_Local!$T:$T,$A53))</f>
        <v/>
      </c>
      <c r="G53" s="5" t="str">
        <f>IF(AND($A53=53,DATE(YEAR(Config!$B$3),1,4)-WEEKDAY(DATE(YEAR(Config!$B$3),1,4))+1+364&gt;=DATE(YEAR(Config!$B$3)+1,1,4)-WEEKDAY(DATE(YEAR(Config!$B$3)+1,1,4))+1),"",TEXT(DATE(YEAR(Config!$B$3)+IF($A53&gt;=36,0,1),1,4)-WEEKDAY(DATE(YEAR(Config!$B$3)+IF($A53&gt;=36,0,1),1,4))+1+7*($A53-1)+1,"m/d/yy")&amp;" – "&amp;TEXT(DATE(YEAR(Config!$B$3)+IF($A53&gt;=36,0,1),1,4)-WEEKDAY(DATE(YEAR(Config!$B$3)+IF($A53&gt;=36,0,1),1,4))+1+7*($A53-1)+7,"m/d/yy"))</f>
        <v>8/2/27 – 8/8/27</v>
      </c>
    </row>
    <row r="54" spans="1:7" x14ac:dyDescent="0.2">
      <c r="A54" s="5">
        <v>32</v>
      </c>
      <c r="B54" s="5">
        <f>IF(COUNTIFS(Weekly_Local!$U:$U,"2022-23",Weekly_Local!$T:$T,$A54,Weekly_Local!$B:$B,"&lt;&gt;")=0,"",SUMIFS(Weekly_Local!$B:$B,Weekly_Local!$U:$U,"2022-23",Weekly_Local!$T:$T,$A54))</f>
        <v>5</v>
      </c>
      <c r="C54" s="5">
        <f>IF(COUNTIFS(Weekly_Local!$U:$U,"2023-24",Weekly_Local!$T:$T,$A54,Weekly_Local!$B:$B,"&lt;&gt;")=0,"",SUMIFS(Weekly_Local!$B:$B,Weekly_Local!$U:$U,"2023-24",Weekly_Local!$T:$T,$A54))</f>
        <v>10</v>
      </c>
      <c r="D54" s="5">
        <f>IF(COUNTIFS(Weekly_Local!$U:$U,"2024-25",Weekly_Local!$T:$T,$A54,Weekly_Local!$B:$B,"&lt;&gt;")=0,"",SUMIFS(Weekly_Local!$B:$B,Weekly_Local!$U:$U,"2024-25",Weekly_Local!$T:$T,$A54))</f>
        <v>1</v>
      </c>
      <c r="E54" s="5">
        <f>IF(COUNTIFS(Weekly_Local!$U:$U,"2025-26",Weekly_Local!$T:$T,$A54,Weekly_Local!$B:$B,"&lt;&gt;")=0,"",SUMIFS(Weekly_Local!$B:$B,Weekly_Local!$U:$U,"2025-26",Weekly_Local!$T:$T,$A54))</f>
        <v>0</v>
      </c>
      <c r="F54" s="5" t="str">
        <f>IF(COUNTIFS(Weekly_Local!$U:$U,"2026-27",Weekly_Local!$T:$T,$A54,Weekly_Local!$B:$B,"&lt;&gt;")=0,"",SUMIFS(Weekly_Local!$B:$B,Weekly_Local!$U:$U,"2026-27",Weekly_Local!$T:$T,$A54))</f>
        <v/>
      </c>
      <c r="G54" s="5" t="str">
        <f>IF(AND($A54=53,DATE(YEAR(Config!$B$3),1,4)-WEEKDAY(DATE(YEAR(Config!$B$3),1,4))+1+364&gt;=DATE(YEAR(Config!$B$3)+1,1,4)-WEEKDAY(DATE(YEAR(Config!$B$3)+1,1,4))+1),"",TEXT(DATE(YEAR(Config!$B$3)+IF($A54&gt;=36,0,1),1,4)-WEEKDAY(DATE(YEAR(Config!$B$3)+IF($A54&gt;=36,0,1),1,4))+1+7*($A54-1)+1,"m/d/yy")&amp;" – "&amp;TEXT(DATE(YEAR(Config!$B$3)+IF($A54&gt;=36,0,1),1,4)-WEEKDAY(DATE(YEAR(Config!$B$3)+IF($A54&gt;=36,0,1),1,4))+1+7*($A54-1)+7,"m/d/yy"))</f>
        <v>8/9/27 – 8/15/27</v>
      </c>
    </row>
    <row r="55" spans="1:7" x14ac:dyDescent="0.2">
      <c r="A55" s="5">
        <v>33</v>
      </c>
      <c r="B55" s="5">
        <f>IF(COUNTIFS(Weekly_Local!$U:$U,"2022-23",Weekly_Local!$T:$T,$A55,Weekly_Local!$B:$B,"&lt;&gt;")=0,"",SUMIFS(Weekly_Local!$B:$B,Weekly_Local!$U:$U,"2022-23",Weekly_Local!$T:$T,$A55))</f>
        <v>9</v>
      </c>
      <c r="C55" s="5">
        <f>IF(COUNTIFS(Weekly_Local!$U:$U,"2023-24",Weekly_Local!$T:$T,$A55,Weekly_Local!$B:$B,"&lt;&gt;")=0,"",SUMIFS(Weekly_Local!$B:$B,Weekly_Local!$U:$U,"2023-24",Weekly_Local!$T:$T,$A55))</f>
        <v>8</v>
      </c>
      <c r="D55" s="5">
        <f>IF(COUNTIFS(Weekly_Local!$U:$U,"2024-25",Weekly_Local!$T:$T,$A55,Weekly_Local!$B:$B,"&lt;&gt;")=0,"",SUMIFS(Weekly_Local!$B:$B,Weekly_Local!$U:$U,"2024-25",Weekly_Local!$T:$T,$A55))</f>
        <v>4</v>
      </c>
      <c r="E55" s="5">
        <f>IF(COUNTIFS(Weekly_Local!$U:$U,"2025-26",Weekly_Local!$T:$T,$A55,Weekly_Local!$B:$B,"&lt;&gt;")=0,"",SUMIFS(Weekly_Local!$B:$B,Weekly_Local!$U:$U,"2025-26",Weekly_Local!$T:$T,$A55))</f>
        <v>0</v>
      </c>
      <c r="F55" s="5" t="str">
        <f>IF(COUNTIFS(Weekly_Local!$U:$U,"2026-27",Weekly_Local!$T:$T,$A55,Weekly_Local!$B:$B,"&lt;&gt;")=0,"",SUMIFS(Weekly_Local!$B:$B,Weekly_Local!$U:$U,"2026-27",Weekly_Local!$T:$T,$A55))</f>
        <v/>
      </c>
      <c r="G55" s="5" t="str">
        <f>IF(AND($A55=53,DATE(YEAR(Config!$B$3),1,4)-WEEKDAY(DATE(YEAR(Config!$B$3),1,4))+1+364&gt;=DATE(YEAR(Config!$B$3)+1,1,4)-WEEKDAY(DATE(YEAR(Config!$B$3)+1,1,4))+1),"",TEXT(DATE(YEAR(Config!$B$3)+IF($A55&gt;=36,0,1),1,4)-WEEKDAY(DATE(YEAR(Config!$B$3)+IF($A55&gt;=36,0,1),1,4))+1+7*($A55-1)+1,"m/d/yy")&amp;" – "&amp;TEXT(DATE(YEAR(Config!$B$3)+IF($A55&gt;=36,0,1),1,4)-WEEKDAY(DATE(YEAR(Config!$B$3)+IF($A55&gt;=36,0,1),1,4))+1+7*($A55-1)+7,"m/d/yy"))</f>
        <v>8/16/27 – 8/22/27</v>
      </c>
    </row>
    <row r="56" spans="1:7" x14ac:dyDescent="0.2">
      <c r="A56" s="5">
        <v>34</v>
      </c>
      <c r="B56" s="5">
        <f>IF(COUNTIFS(Weekly_Local!$U:$U,"2022-23",Weekly_Local!$T:$T,$A56,Weekly_Local!$B:$B,"&lt;&gt;")=0,"",SUMIFS(Weekly_Local!$B:$B,Weekly_Local!$U:$U,"2022-23",Weekly_Local!$T:$T,$A56))</f>
        <v>8</v>
      </c>
      <c r="C56" s="5">
        <f>IF(COUNTIFS(Weekly_Local!$U:$U,"2023-24",Weekly_Local!$T:$T,$A56,Weekly_Local!$B:$B,"&lt;&gt;")=0,"",SUMIFS(Weekly_Local!$B:$B,Weekly_Local!$U:$U,"2023-24",Weekly_Local!$T:$T,$A56))</f>
        <v>1</v>
      </c>
      <c r="D56" s="5">
        <f>IF(COUNTIFS(Weekly_Local!$U:$U,"2024-25",Weekly_Local!$T:$T,$A56,Weekly_Local!$B:$B,"&lt;&gt;")=0,"",SUMIFS(Weekly_Local!$B:$B,Weekly_Local!$U:$U,"2024-25",Weekly_Local!$T:$T,$A56))</f>
        <v>1</v>
      </c>
      <c r="E56" s="5">
        <f>IF(COUNTIFS(Weekly_Local!$U:$U,"2025-26",Weekly_Local!$T:$T,$A56,Weekly_Local!$B:$B,"&lt;&gt;")=0,"",SUMIFS(Weekly_Local!$B:$B,Weekly_Local!$U:$U,"2025-26",Weekly_Local!$T:$T,$A56))</f>
        <v>0</v>
      </c>
      <c r="F56" s="5" t="str">
        <f>IF(COUNTIFS(Weekly_Local!$U:$U,"2026-27",Weekly_Local!$T:$T,$A56,Weekly_Local!$B:$B,"&lt;&gt;")=0,"",SUMIFS(Weekly_Local!$B:$B,Weekly_Local!$U:$U,"2026-27",Weekly_Local!$T:$T,$A56))</f>
        <v/>
      </c>
      <c r="G56" s="5" t="str">
        <f>IF(AND($A56=53,DATE(YEAR(Config!$B$3),1,4)-WEEKDAY(DATE(YEAR(Config!$B$3),1,4))+1+364&gt;=DATE(YEAR(Config!$B$3)+1,1,4)-WEEKDAY(DATE(YEAR(Config!$B$3)+1,1,4))+1),"",TEXT(DATE(YEAR(Config!$B$3)+IF($A56&gt;=36,0,1),1,4)-WEEKDAY(DATE(YEAR(Config!$B$3)+IF($A56&gt;=36,0,1),1,4))+1+7*($A56-1)+1,"m/d/yy")&amp;" – "&amp;TEXT(DATE(YEAR(Config!$B$3)+IF($A56&gt;=36,0,1),1,4)-WEEKDAY(DATE(YEAR(Config!$B$3)+IF($A56&gt;=36,0,1),1,4))+1+7*($A56-1)+7,"m/d/yy"))</f>
        <v>8/23/27 – 8/29/27</v>
      </c>
    </row>
    <row r="57" spans="1:7" x14ac:dyDescent="0.2">
      <c r="A57" s="5">
        <v>35</v>
      </c>
      <c r="B57" s="5">
        <f>IF(COUNTIFS(Weekly_Local!$U:$U,"2022-23",Weekly_Local!$T:$T,$A57,Weekly_Local!$B:$B,"&lt;&gt;")=0,"",SUMIFS(Weekly_Local!$B:$B,Weekly_Local!$U:$U,"2022-23",Weekly_Local!$T:$T,$A57))</f>
        <v>18</v>
      </c>
      <c r="C57" s="5">
        <f>IF(COUNTIFS(Weekly_Local!$U:$U,"2023-24",Weekly_Local!$T:$T,$A57,Weekly_Local!$B:$B,"&lt;&gt;")=0,"",SUMIFS(Weekly_Local!$B:$B,Weekly_Local!$U:$U,"2023-24",Weekly_Local!$T:$T,$A57))</f>
        <v>5</v>
      </c>
      <c r="D57" s="5">
        <f>IF(COUNTIFS(Weekly_Local!$U:$U,"2024-25",Weekly_Local!$T:$T,$A57,Weekly_Local!$B:$B,"&lt;&gt;")=0,"",SUMIFS(Weekly_Local!$B:$B,Weekly_Local!$U:$U,"2024-25",Weekly_Local!$T:$T,$A57))</f>
        <v>6</v>
      </c>
      <c r="E57" s="5">
        <f>IF(COUNTIFS(Weekly_Local!$U:$U,"2025-26",Weekly_Local!$T:$T,$A57,Weekly_Local!$B:$B,"&lt;&gt;")=0,"",SUMIFS(Weekly_Local!$B:$B,Weekly_Local!$U:$U,"2025-26",Weekly_Local!$T:$T,$A57))</f>
        <v>0</v>
      </c>
      <c r="F57" s="5" t="str">
        <f>IF(COUNTIFS(Weekly_Local!$U:$U,"2026-27",Weekly_Local!$T:$T,$A57,Weekly_Local!$B:$B,"&lt;&gt;")=0,"",SUMIFS(Weekly_Local!$B:$B,Weekly_Local!$U:$U,"2026-27",Weekly_Local!$T:$T,$A57))</f>
        <v/>
      </c>
      <c r="G57" s="5" t="str">
        <f>IF(AND($A57=53,DATE(YEAR(Config!$B$3),1,4)-WEEKDAY(DATE(YEAR(Config!$B$3),1,4))+1+364&gt;=DATE(YEAR(Config!$B$3)+1,1,4)-WEEKDAY(DATE(YEAR(Config!$B$3)+1,1,4))+1),"",TEXT(DATE(YEAR(Config!$B$3)+IF($A57&gt;=36,0,1),1,4)-WEEKDAY(DATE(YEAR(Config!$B$3)+IF($A57&gt;=36,0,1),1,4))+1+7*($A57-1)+1,"m/d/yy")&amp;" – "&amp;TEXT(DATE(YEAR(Config!$B$3)+IF($A57&gt;=36,0,1),1,4)-WEEKDAY(DATE(YEAR(Config!$B$3)+IF($A57&gt;=36,0,1),1,4))+1+7*($A57-1)+7,"m/d/yy"))</f>
        <v>8/30/27 – 9/5/27</v>
      </c>
    </row>
    <row r="60" spans="1:7" x14ac:dyDescent="0.2">
      <c r="A60" s="13" t="s">
        <v>79</v>
      </c>
    </row>
    <row r="61" spans="1:7" ht="31.5" customHeight="1" x14ac:dyDescent="0.2">
      <c r="A61" s="4" t="s">
        <v>57</v>
      </c>
      <c r="B61" s="4" t="s">
        <v>74</v>
      </c>
      <c r="C61" s="4" t="s">
        <v>75</v>
      </c>
      <c r="D61" s="4" t="s">
        <v>76</v>
      </c>
      <c r="E61" s="4" t="s">
        <v>77</v>
      </c>
      <c r="F61" s="4" t="s">
        <v>23</v>
      </c>
      <c r="G61" s="4" t="s">
        <v>78</v>
      </c>
    </row>
    <row r="62" spans="1:7" x14ac:dyDescent="0.2">
      <c r="A62" s="5">
        <v>36</v>
      </c>
      <c r="B62" s="5" t="str">
        <f>IF(COUNTIFS(Weekly_Local!$U:$U,"2022-23",Weekly_Local!$T:$T,$A62,Weekly_Local!$C:$C,"&lt;&gt;")=0,"",SUMIFS(Weekly_Local!$C:$C,Weekly_Local!$U:$U,"2022-23",Weekly_Local!$T:$T,$A62))</f>
        <v/>
      </c>
      <c r="C62" s="5">
        <f>IF(COUNTIFS(Weekly_Local!$U:$U,"2023-24",Weekly_Local!$T:$T,$A62,Weekly_Local!$C:$C,"&lt;&gt;")=0,"",SUMIFS(Weekly_Local!$C:$C,Weekly_Local!$U:$U,"2023-24",Weekly_Local!$T:$T,$A62))</f>
        <v>0</v>
      </c>
      <c r="D62" s="5">
        <f>IF(COUNTIFS(Weekly_Local!$U:$U,"2024-25",Weekly_Local!$T:$T,$A62,Weekly_Local!$C:$C,"&lt;&gt;")=0,"",SUMIFS(Weekly_Local!$C:$C,Weekly_Local!$U:$U,"2024-25",Weekly_Local!$T:$T,$A62))</f>
        <v>0</v>
      </c>
      <c r="E62" s="5">
        <f>IF(COUNTIFS(Weekly_Local!$U:$U,"2025-26",Weekly_Local!$T:$T,$A62,Weekly_Local!$C:$C,"&lt;&gt;")=0,"",SUMIFS(Weekly_Local!$C:$C,Weekly_Local!$U:$U,"2025-26",Weekly_Local!$T:$T,$A62))</f>
        <v>0</v>
      </c>
      <c r="F62" s="5">
        <v>0</v>
      </c>
      <c r="G62" s="5" t="str">
        <f>IF(AND($A62=53,DATE(YEAR(Config!$B$3),1,4)-WEEKDAY(DATE(YEAR(Config!$B$3),1,4))+1+364&gt;=DATE(YEAR(Config!$B$3)+1,1,4)-WEEKDAY(DATE(YEAR(Config!$B$3)+1,1,4))+1),"",TEXT(DATE(YEAR(Config!$B$3)+IF($A62&gt;=36,0,1),1,4)-WEEKDAY(DATE(YEAR(Config!$B$3)+IF($A62&gt;=36,0,1),1,4))+1+7*($A62-1)+1,"m/d/yy")&amp;" – "&amp;TEXT(DATE(YEAR(Config!$B$3)+IF($A62&gt;=36,0,1),1,4)-WEEKDAY(DATE(YEAR(Config!$B$3)+IF($A62&gt;=36,0,1),1,4))+1+7*($A62-1)+7,"m/d/yy"))</f>
        <v>9/7/26 – 9/13/26</v>
      </c>
    </row>
    <row r="63" spans="1:7" x14ac:dyDescent="0.2">
      <c r="A63" s="5">
        <v>37</v>
      </c>
      <c r="B63" s="5" t="str">
        <f>IF(COUNTIFS(Weekly_Local!$U:$U,"2022-23",Weekly_Local!$T:$T,$A63,Weekly_Local!$C:$C,"&lt;&gt;")=0,"",SUMIFS(Weekly_Local!$C:$C,Weekly_Local!$U:$U,"2022-23",Weekly_Local!$T:$T,$A63))</f>
        <v/>
      </c>
      <c r="C63" s="5">
        <f>IF(COUNTIFS(Weekly_Local!$U:$U,"2023-24",Weekly_Local!$T:$T,$A63,Weekly_Local!$C:$C,"&lt;&gt;")=0,"",SUMIFS(Weekly_Local!$C:$C,Weekly_Local!$U:$U,"2023-24",Weekly_Local!$T:$T,$A63))</f>
        <v>0</v>
      </c>
      <c r="D63" s="5">
        <f>IF(COUNTIFS(Weekly_Local!$U:$U,"2024-25",Weekly_Local!$T:$T,$A63,Weekly_Local!$C:$C,"&lt;&gt;")=0,"",SUMIFS(Weekly_Local!$C:$C,Weekly_Local!$U:$U,"2024-25",Weekly_Local!$T:$T,$A63))</f>
        <v>1</v>
      </c>
      <c r="E63" s="5">
        <f>IF(COUNTIFS(Weekly_Local!$U:$U,"2025-26",Weekly_Local!$T:$T,$A63,Weekly_Local!$C:$C,"&lt;&gt;")=0,"",SUMIFS(Weekly_Local!$C:$C,Weekly_Local!$U:$U,"2025-26",Weekly_Local!$T:$T,$A63))</f>
        <v>0</v>
      </c>
      <c r="F63" s="5">
        <f>IF(COUNTIFS(Weekly_Local!$U:$U,"2026-27",Weekly_Local!$T:$T,$A63,Weekly_Local!$C:$C,"&lt;&gt;")=0,"",SUMIFS(Weekly_Local!$C:$C,Weekly_Local!$U:$U,"2026-27",Weekly_Local!$T:$T,$A63))</f>
        <v>1</v>
      </c>
      <c r="G63" s="5" t="str">
        <f>IF(AND($A63=53,DATE(YEAR(Config!$B$3),1,4)-WEEKDAY(DATE(YEAR(Config!$B$3),1,4))+1+364&gt;=DATE(YEAR(Config!$B$3)+1,1,4)-WEEKDAY(DATE(YEAR(Config!$B$3)+1,1,4))+1),"",TEXT(DATE(YEAR(Config!$B$3)+IF($A63&gt;=36,0,1),1,4)-WEEKDAY(DATE(YEAR(Config!$B$3)+IF($A63&gt;=36,0,1),1,4))+1+7*($A63-1)+1,"m/d/yy")&amp;" – "&amp;TEXT(DATE(YEAR(Config!$B$3)+IF($A63&gt;=36,0,1),1,4)-WEEKDAY(DATE(YEAR(Config!$B$3)+IF($A63&gt;=36,0,1),1,4))+1+7*($A63-1)+7,"m/d/yy"))</f>
        <v>9/14/26 – 9/20/26</v>
      </c>
    </row>
    <row r="64" spans="1:7" x14ac:dyDescent="0.2">
      <c r="A64" s="5">
        <v>38</v>
      </c>
      <c r="B64" s="5" t="str">
        <f>IF(COUNTIFS(Weekly_Local!$U:$U,"2022-23",Weekly_Local!$T:$T,$A64,Weekly_Local!$C:$C,"&lt;&gt;")=0,"",SUMIFS(Weekly_Local!$C:$C,Weekly_Local!$U:$U,"2022-23",Weekly_Local!$T:$T,$A64))</f>
        <v/>
      </c>
      <c r="C64" s="5">
        <f>IF(COUNTIFS(Weekly_Local!$U:$U,"2023-24",Weekly_Local!$T:$T,$A64,Weekly_Local!$C:$C,"&lt;&gt;")=0,"",SUMIFS(Weekly_Local!$C:$C,Weekly_Local!$U:$U,"2023-24",Weekly_Local!$T:$T,$A64))</f>
        <v>2</v>
      </c>
      <c r="D64" s="5">
        <f>IF(COUNTIFS(Weekly_Local!$U:$U,"2024-25",Weekly_Local!$T:$T,$A64,Weekly_Local!$C:$C,"&lt;&gt;")=0,"",SUMIFS(Weekly_Local!$C:$C,Weekly_Local!$U:$U,"2024-25",Weekly_Local!$T:$T,$A64))</f>
        <v>1</v>
      </c>
      <c r="E64" s="5">
        <f>IF(COUNTIFS(Weekly_Local!$U:$U,"2025-26",Weekly_Local!$T:$T,$A64,Weekly_Local!$C:$C,"&lt;&gt;")=0,"",SUMIFS(Weekly_Local!$C:$C,Weekly_Local!$U:$U,"2025-26",Weekly_Local!$T:$T,$A64))</f>
        <v>0</v>
      </c>
      <c r="F64" s="5">
        <f>IF(COUNTIFS(Weekly_Local!$U:$U,"2026-27",Weekly_Local!$T:$T,$A64,Weekly_Local!$C:$C,"&lt;&gt;")=0,"",SUMIFS(Weekly_Local!$C:$C,Weekly_Local!$U:$U,"2026-27",Weekly_Local!$T:$T,$A64))</f>
        <v>0</v>
      </c>
      <c r="G64" s="5" t="str">
        <f>IF(AND($A64=53,DATE(YEAR(Config!$B$3),1,4)-WEEKDAY(DATE(YEAR(Config!$B$3),1,4))+1+364&gt;=DATE(YEAR(Config!$B$3)+1,1,4)-WEEKDAY(DATE(YEAR(Config!$B$3)+1,1,4))+1),"",TEXT(DATE(YEAR(Config!$B$3)+IF($A64&gt;=36,0,1),1,4)-WEEKDAY(DATE(YEAR(Config!$B$3)+IF($A64&gt;=36,0,1),1,4))+1+7*($A64-1)+1,"m/d/yy")&amp;" – "&amp;TEXT(DATE(YEAR(Config!$B$3)+IF($A64&gt;=36,0,1),1,4)-WEEKDAY(DATE(YEAR(Config!$B$3)+IF($A64&gt;=36,0,1),1,4))+1+7*($A64-1)+7,"m/d/yy"))</f>
        <v>9/21/26 – 9/27/26</v>
      </c>
    </row>
    <row r="65" spans="1:7" x14ac:dyDescent="0.2">
      <c r="A65" s="5">
        <v>39</v>
      </c>
      <c r="B65" s="5" t="str">
        <f>IF(COUNTIFS(Weekly_Local!$U:$U,"2022-23",Weekly_Local!$T:$T,$A65,Weekly_Local!$C:$C,"&lt;&gt;")=0,"",SUMIFS(Weekly_Local!$C:$C,Weekly_Local!$U:$U,"2022-23",Weekly_Local!$T:$T,$A65))</f>
        <v/>
      </c>
      <c r="C65" s="5">
        <f>IF(COUNTIFS(Weekly_Local!$U:$U,"2023-24",Weekly_Local!$T:$T,$A65,Weekly_Local!$C:$C,"&lt;&gt;")=0,"",SUMIFS(Weekly_Local!$C:$C,Weekly_Local!$U:$U,"2023-24",Weekly_Local!$T:$T,$A65))</f>
        <v>0</v>
      </c>
      <c r="D65" s="5">
        <f>IF(COUNTIFS(Weekly_Local!$U:$U,"2024-25",Weekly_Local!$T:$T,$A65,Weekly_Local!$C:$C,"&lt;&gt;")=0,"",SUMIFS(Weekly_Local!$C:$C,Weekly_Local!$U:$U,"2024-25",Weekly_Local!$T:$T,$A65))</f>
        <v>0</v>
      </c>
      <c r="E65" s="5">
        <f>IF(COUNTIFS(Weekly_Local!$U:$U,"2025-26",Weekly_Local!$T:$T,$A65,Weekly_Local!$C:$C,"&lt;&gt;")=0,"",SUMIFS(Weekly_Local!$C:$C,Weekly_Local!$U:$U,"2025-26",Weekly_Local!$T:$T,$A65))</f>
        <v>0</v>
      </c>
      <c r="F65" s="5">
        <f>IF(COUNTIFS(Weekly_Local!$U:$U,"2026-27",Weekly_Local!$T:$T,$A65,Weekly_Local!$C:$C,"&lt;&gt;")=0,"",SUMIFS(Weekly_Local!$C:$C,Weekly_Local!$U:$U,"2026-27",Weekly_Local!$T:$T,$A65))</f>
        <v>0</v>
      </c>
      <c r="G65" s="5" t="str">
        <f>IF(AND($A65=53,DATE(YEAR(Config!$B$3),1,4)-WEEKDAY(DATE(YEAR(Config!$B$3),1,4))+1+364&gt;=DATE(YEAR(Config!$B$3)+1,1,4)-WEEKDAY(DATE(YEAR(Config!$B$3)+1,1,4))+1),"",TEXT(DATE(YEAR(Config!$B$3)+IF($A65&gt;=36,0,1),1,4)-WEEKDAY(DATE(YEAR(Config!$B$3)+IF($A65&gt;=36,0,1),1,4))+1+7*($A65-1)+1,"m/d/yy")&amp;" – "&amp;TEXT(DATE(YEAR(Config!$B$3)+IF($A65&gt;=36,0,1),1,4)-WEEKDAY(DATE(YEAR(Config!$B$3)+IF($A65&gt;=36,0,1),1,4))+1+7*($A65-1)+7,"m/d/yy"))</f>
        <v>9/28/26 – 10/4/26</v>
      </c>
    </row>
    <row r="66" spans="1:7" x14ac:dyDescent="0.2">
      <c r="A66" s="5">
        <v>40</v>
      </c>
      <c r="B66" s="5" t="str">
        <f>IF(COUNTIFS(Weekly_Local!$U:$U,"2022-23",Weekly_Local!$T:$T,$A66,Weekly_Local!$C:$C,"&lt;&gt;")=0,"",SUMIFS(Weekly_Local!$C:$C,Weekly_Local!$U:$U,"2022-23",Weekly_Local!$T:$T,$A66))</f>
        <v/>
      </c>
      <c r="C66" s="5">
        <f>IF(COUNTIFS(Weekly_Local!$U:$U,"2023-24",Weekly_Local!$T:$T,$A66,Weekly_Local!$C:$C,"&lt;&gt;")=0,"",SUMIFS(Weekly_Local!$C:$C,Weekly_Local!$U:$U,"2023-24",Weekly_Local!$T:$T,$A66))</f>
        <v>0</v>
      </c>
      <c r="D66" s="5">
        <f>IF(COUNTIFS(Weekly_Local!$U:$U,"2024-25",Weekly_Local!$T:$T,$A66,Weekly_Local!$C:$C,"&lt;&gt;")=0,"",SUMIFS(Weekly_Local!$C:$C,Weekly_Local!$U:$U,"2024-25",Weekly_Local!$T:$T,$A66))</f>
        <v>0</v>
      </c>
      <c r="E66" s="5">
        <f>IF(COUNTIFS(Weekly_Local!$U:$U,"2025-26",Weekly_Local!$T:$T,$A66,Weekly_Local!$C:$C,"&lt;&gt;")=0,"",SUMIFS(Weekly_Local!$C:$C,Weekly_Local!$U:$U,"2025-26",Weekly_Local!$T:$T,$A66))</f>
        <v>0</v>
      </c>
      <c r="F66" s="5" t="str">
        <f>IF(COUNTIFS(Weekly_Local!$U:$U,"2026-27",Weekly_Local!$T:$T,$A66,Weekly_Local!$C:$C,"&lt;&gt;")=0,"",SUMIFS(Weekly_Local!$C:$C,Weekly_Local!$U:$U,"2026-27",Weekly_Local!$T:$T,$A66))</f>
        <v/>
      </c>
      <c r="G66" s="5" t="str">
        <f>IF(AND($A66=53,DATE(YEAR(Config!$B$3),1,4)-WEEKDAY(DATE(YEAR(Config!$B$3),1,4))+1+364&gt;=DATE(YEAR(Config!$B$3)+1,1,4)-WEEKDAY(DATE(YEAR(Config!$B$3)+1,1,4))+1),"",TEXT(DATE(YEAR(Config!$B$3)+IF($A66&gt;=36,0,1),1,4)-WEEKDAY(DATE(YEAR(Config!$B$3)+IF($A66&gt;=36,0,1),1,4))+1+7*($A66-1)+1,"m/d/yy")&amp;" – "&amp;TEXT(DATE(YEAR(Config!$B$3)+IF($A66&gt;=36,0,1),1,4)-WEEKDAY(DATE(YEAR(Config!$B$3)+IF($A66&gt;=36,0,1),1,4))+1+7*($A66-1)+7,"m/d/yy"))</f>
        <v>10/5/26 – 10/11/26</v>
      </c>
    </row>
    <row r="67" spans="1:7" x14ac:dyDescent="0.2">
      <c r="A67" s="5">
        <v>41</v>
      </c>
      <c r="B67" s="5" t="str">
        <f>IF(COUNTIFS(Weekly_Local!$U:$U,"2022-23",Weekly_Local!$T:$T,$A67,Weekly_Local!$C:$C,"&lt;&gt;")=0,"",SUMIFS(Weekly_Local!$C:$C,Weekly_Local!$U:$U,"2022-23",Weekly_Local!$T:$T,$A67))</f>
        <v/>
      </c>
      <c r="C67" s="5">
        <f>IF(COUNTIFS(Weekly_Local!$U:$U,"2023-24",Weekly_Local!$T:$T,$A67,Weekly_Local!$C:$C,"&lt;&gt;")=0,"",SUMIFS(Weekly_Local!$C:$C,Weekly_Local!$U:$U,"2023-24",Weekly_Local!$T:$T,$A67))</f>
        <v>0</v>
      </c>
      <c r="D67" s="5">
        <f>IF(COUNTIFS(Weekly_Local!$U:$U,"2024-25",Weekly_Local!$T:$T,$A67,Weekly_Local!$C:$C,"&lt;&gt;")=0,"",SUMIFS(Weekly_Local!$C:$C,Weekly_Local!$U:$U,"2024-25",Weekly_Local!$T:$T,$A67))</f>
        <v>0</v>
      </c>
      <c r="E67" s="5">
        <f>IF(COUNTIFS(Weekly_Local!$U:$U,"2025-26",Weekly_Local!$T:$T,$A67,Weekly_Local!$C:$C,"&lt;&gt;")=0,"",SUMIFS(Weekly_Local!$C:$C,Weekly_Local!$U:$U,"2025-26",Weekly_Local!$T:$T,$A67))</f>
        <v>0</v>
      </c>
      <c r="F67" s="5" t="str">
        <f>IF(COUNTIFS(Weekly_Local!$U:$U,"2026-27",Weekly_Local!$T:$T,$A67,Weekly_Local!$C:$C,"&lt;&gt;")=0,"",SUMIFS(Weekly_Local!$C:$C,Weekly_Local!$U:$U,"2026-27",Weekly_Local!$T:$T,$A67))</f>
        <v/>
      </c>
      <c r="G67" s="5" t="str">
        <f>IF(AND($A67=53,DATE(YEAR(Config!$B$3),1,4)-WEEKDAY(DATE(YEAR(Config!$B$3),1,4))+1+364&gt;=DATE(YEAR(Config!$B$3)+1,1,4)-WEEKDAY(DATE(YEAR(Config!$B$3)+1,1,4))+1),"",TEXT(DATE(YEAR(Config!$B$3)+IF($A67&gt;=36,0,1),1,4)-WEEKDAY(DATE(YEAR(Config!$B$3)+IF($A67&gt;=36,0,1),1,4))+1+7*($A67-1)+1,"m/d/yy")&amp;" – "&amp;TEXT(DATE(YEAR(Config!$B$3)+IF($A67&gt;=36,0,1),1,4)-WEEKDAY(DATE(YEAR(Config!$B$3)+IF($A67&gt;=36,0,1),1,4))+1+7*($A67-1)+7,"m/d/yy"))</f>
        <v>10/12/26 – 10/18/26</v>
      </c>
    </row>
    <row r="68" spans="1:7" x14ac:dyDescent="0.2">
      <c r="A68" s="5">
        <v>42</v>
      </c>
      <c r="B68" s="5" t="str">
        <f>IF(COUNTIFS(Weekly_Local!$U:$U,"2022-23",Weekly_Local!$T:$T,$A68,Weekly_Local!$C:$C,"&lt;&gt;")=0,"",SUMIFS(Weekly_Local!$C:$C,Weekly_Local!$U:$U,"2022-23",Weekly_Local!$T:$T,$A68))</f>
        <v/>
      </c>
      <c r="C68" s="5">
        <f>IF(COUNTIFS(Weekly_Local!$U:$U,"2023-24",Weekly_Local!$T:$T,$A68,Weekly_Local!$C:$C,"&lt;&gt;")=0,"",SUMIFS(Weekly_Local!$C:$C,Weekly_Local!$U:$U,"2023-24",Weekly_Local!$T:$T,$A68))</f>
        <v>0</v>
      </c>
      <c r="D68" s="5">
        <f>IF(COUNTIFS(Weekly_Local!$U:$U,"2024-25",Weekly_Local!$T:$T,$A68,Weekly_Local!$C:$C,"&lt;&gt;")=0,"",SUMIFS(Weekly_Local!$C:$C,Weekly_Local!$U:$U,"2024-25",Weekly_Local!$T:$T,$A68))</f>
        <v>0</v>
      </c>
      <c r="E68" s="5">
        <f>IF(COUNTIFS(Weekly_Local!$U:$U,"2025-26",Weekly_Local!$T:$T,$A68,Weekly_Local!$C:$C,"&lt;&gt;")=0,"",SUMIFS(Weekly_Local!$C:$C,Weekly_Local!$U:$U,"2025-26",Weekly_Local!$T:$T,$A68))</f>
        <v>0</v>
      </c>
      <c r="F68" s="5" t="str">
        <f>IF(COUNTIFS(Weekly_Local!$U:$U,"2026-27",Weekly_Local!$T:$T,$A68,Weekly_Local!$C:$C,"&lt;&gt;")=0,"",SUMIFS(Weekly_Local!$C:$C,Weekly_Local!$U:$U,"2026-27",Weekly_Local!$T:$T,$A68))</f>
        <v/>
      </c>
      <c r="G68" s="5" t="str">
        <f>IF(AND($A68=53,DATE(YEAR(Config!$B$3),1,4)-WEEKDAY(DATE(YEAR(Config!$B$3),1,4))+1+364&gt;=DATE(YEAR(Config!$B$3)+1,1,4)-WEEKDAY(DATE(YEAR(Config!$B$3)+1,1,4))+1),"",TEXT(DATE(YEAR(Config!$B$3)+IF($A68&gt;=36,0,1),1,4)-WEEKDAY(DATE(YEAR(Config!$B$3)+IF($A68&gt;=36,0,1),1,4))+1+7*($A68-1)+1,"m/d/yy")&amp;" – "&amp;TEXT(DATE(YEAR(Config!$B$3)+IF($A68&gt;=36,0,1),1,4)-WEEKDAY(DATE(YEAR(Config!$B$3)+IF($A68&gt;=36,0,1),1,4))+1+7*($A68-1)+7,"m/d/yy"))</f>
        <v>10/19/26 – 10/25/26</v>
      </c>
    </row>
    <row r="69" spans="1:7" x14ac:dyDescent="0.2">
      <c r="A69" s="5">
        <v>43</v>
      </c>
      <c r="B69" s="5" t="str">
        <f>IF(COUNTIFS(Weekly_Local!$U:$U,"2022-23",Weekly_Local!$T:$T,$A69,Weekly_Local!$C:$C,"&lt;&gt;")=0,"",SUMIFS(Weekly_Local!$C:$C,Weekly_Local!$U:$U,"2022-23",Weekly_Local!$T:$T,$A69))</f>
        <v/>
      </c>
      <c r="C69" s="5">
        <f>IF(COUNTIFS(Weekly_Local!$U:$U,"2023-24",Weekly_Local!$T:$T,$A69,Weekly_Local!$C:$C,"&lt;&gt;")=0,"",SUMIFS(Weekly_Local!$C:$C,Weekly_Local!$U:$U,"2023-24",Weekly_Local!$T:$T,$A69))</f>
        <v>0</v>
      </c>
      <c r="D69" s="5">
        <f>IF(COUNTIFS(Weekly_Local!$U:$U,"2024-25",Weekly_Local!$T:$T,$A69,Weekly_Local!$C:$C,"&lt;&gt;")=0,"",SUMIFS(Weekly_Local!$C:$C,Weekly_Local!$U:$U,"2024-25",Weekly_Local!$T:$T,$A69))</f>
        <v>2</v>
      </c>
      <c r="E69" s="5">
        <f>IF(COUNTIFS(Weekly_Local!$U:$U,"2025-26",Weekly_Local!$T:$T,$A69,Weekly_Local!$C:$C,"&lt;&gt;")=0,"",SUMIFS(Weekly_Local!$C:$C,Weekly_Local!$U:$U,"2025-26",Weekly_Local!$T:$T,$A69))</f>
        <v>0</v>
      </c>
      <c r="F69" s="5" t="str">
        <f>IF(COUNTIFS(Weekly_Local!$U:$U,"2026-27",Weekly_Local!$T:$T,$A69,Weekly_Local!$C:$C,"&lt;&gt;")=0,"",SUMIFS(Weekly_Local!$C:$C,Weekly_Local!$U:$U,"2026-27",Weekly_Local!$T:$T,$A69))</f>
        <v/>
      </c>
      <c r="G69" s="5" t="str">
        <f>IF(AND($A69=53,DATE(YEAR(Config!$B$3),1,4)-WEEKDAY(DATE(YEAR(Config!$B$3),1,4))+1+364&gt;=DATE(YEAR(Config!$B$3)+1,1,4)-WEEKDAY(DATE(YEAR(Config!$B$3)+1,1,4))+1),"",TEXT(DATE(YEAR(Config!$B$3)+IF($A69&gt;=36,0,1),1,4)-WEEKDAY(DATE(YEAR(Config!$B$3)+IF($A69&gt;=36,0,1),1,4))+1+7*($A69-1)+1,"m/d/yy")&amp;" – "&amp;TEXT(DATE(YEAR(Config!$B$3)+IF($A69&gt;=36,0,1),1,4)-WEEKDAY(DATE(YEAR(Config!$B$3)+IF($A69&gt;=36,0,1),1,4))+1+7*($A69-1)+7,"m/d/yy"))</f>
        <v>10/26/26 – 11/1/26</v>
      </c>
    </row>
    <row r="70" spans="1:7" x14ac:dyDescent="0.2">
      <c r="A70" s="5">
        <v>44</v>
      </c>
      <c r="B70" s="5" t="str">
        <f>IF(COUNTIFS(Weekly_Local!$U:$U,"2022-23",Weekly_Local!$T:$T,$A70,Weekly_Local!$C:$C,"&lt;&gt;")=0,"",SUMIFS(Weekly_Local!$C:$C,Weekly_Local!$U:$U,"2022-23",Weekly_Local!$T:$T,$A70))</f>
        <v/>
      </c>
      <c r="C70" s="5">
        <f>IF(COUNTIFS(Weekly_Local!$U:$U,"2023-24",Weekly_Local!$T:$T,$A70,Weekly_Local!$C:$C,"&lt;&gt;")=0,"",SUMIFS(Weekly_Local!$C:$C,Weekly_Local!$U:$U,"2023-24",Weekly_Local!$T:$T,$A70))</f>
        <v>0</v>
      </c>
      <c r="D70" s="5">
        <f>IF(COUNTIFS(Weekly_Local!$U:$U,"2024-25",Weekly_Local!$T:$T,$A70,Weekly_Local!$C:$C,"&lt;&gt;")=0,"",SUMIFS(Weekly_Local!$C:$C,Weekly_Local!$U:$U,"2024-25",Weekly_Local!$T:$T,$A70))</f>
        <v>0</v>
      </c>
      <c r="E70" s="5">
        <f>IF(COUNTIFS(Weekly_Local!$U:$U,"2025-26",Weekly_Local!$T:$T,$A70,Weekly_Local!$C:$C,"&lt;&gt;")=0,"",SUMIFS(Weekly_Local!$C:$C,Weekly_Local!$U:$U,"2025-26",Weekly_Local!$T:$T,$A70))</f>
        <v>0</v>
      </c>
      <c r="F70" s="5" t="str">
        <f>IF(COUNTIFS(Weekly_Local!$U:$U,"2026-27",Weekly_Local!$T:$T,$A70,Weekly_Local!$C:$C,"&lt;&gt;")=0,"",SUMIFS(Weekly_Local!$C:$C,Weekly_Local!$U:$U,"2026-27",Weekly_Local!$T:$T,$A70))</f>
        <v/>
      </c>
      <c r="G70" s="5" t="str">
        <f>IF(AND($A70=53,DATE(YEAR(Config!$B$3),1,4)-WEEKDAY(DATE(YEAR(Config!$B$3),1,4))+1+364&gt;=DATE(YEAR(Config!$B$3)+1,1,4)-WEEKDAY(DATE(YEAR(Config!$B$3)+1,1,4))+1),"",TEXT(DATE(YEAR(Config!$B$3)+IF($A70&gt;=36,0,1),1,4)-WEEKDAY(DATE(YEAR(Config!$B$3)+IF($A70&gt;=36,0,1),1,4))+1+7*($A70-1)+1,"m/d/yy")&amp;" – "&amp;TEXT(DATE(YEAR(Config!$B$3)+IF($A70&gt;=36,0,1),1,4)-WEEKDAY(DATE(YEAR(Config!$B$3)+IF($A70&gt;=36,0,1),1,4))+1+7*($A70-1)+7,"m/d/yy"))</f>
        <v>11/2/26 – 11/8/26</v>
      </c>
    </row>
    <row r="71" spans="1:7" x14ac:dyDescent="0.2">
      <c r="A71" s="5">
        <v>45</v>
      </c>
      <c r="B71" s="5" t="str">
        <f>IF(COUNTIFS(Weekly_Local!$U:$U,"2022-23",Weekly_Local!$T:$T,$A71,Weekly_Local!$C:$C,"&lt;&gt;")=0,"",SUMIFS(Weekly_Local!$C:$C,Weekly_Local!$U:$U,"2022-23",Weekly_Local!$T:$T,$A71))</f>
        <v/>
      </c>
      <c r="C71" s="5">
        <f>IF(COUNTIFS(Weekly_Local!$U:$U,"2023-24",Weekly_Local!$T:$T,$A71,Weekly_Local!$C:$C,"&lt;&gt;")=0,"",SUMIFS(Weekly_Local!$C:$C,Weekly_Local!$U:$U,"2023-24",Weekly_Local!$T:$T,$A71))</f>
        <v>0</v>
      </c>
      <c r="D71" s="5">
        <f>IF(COUNTIFS(Weekly_Local!$U:$U,"2024-25",Weekly_Local!$T:$T,$A71,Weekly_Local!$C:$C,"&lt;&gt;")=0,"",SUMIFS(Weekly_Local!$C:$C,Weekly_Local!$U:$U,"2024-25",Weekly_Local!$T:$T,$A71))</f>
        <v>0</v>
      </c>
      <c r="E71" s="5">
        <f>IF(COUNTIFS(Weekly_Local!$U:$U,"2025-26",Weekly_Local!$T:$T,$A71,Weekly_Local!$C:$C,"&lt;&gt;")=0,"",SUMIFS(Weekly_Local!$C:$C,Weekly_Local!$U:$U,"2025-26",Weekly_Local!$T:$T,$A71))</f>
        <v>0</v>
      </c>
      <c r="F71" s="5" t="str">
        <f>IF(COUNTIFS(Weekly_Local!$U:$U,"2026-27",Weekly_Local!$T:$T,$A71,Weekly_Local!$C:$C,"&lt;&gt;")=0,"",SUMIFS(Weekly_Local!$C:$C,Weekly_Local!$U:$U,"2026-27",Weekly_Local!$T:$T,$A71))</f>
        <v/>
      </c>
      <c r="G71" s="5" t="str">
        <f>IF(AND($A71=53,DATE(YEAR(Config!$B$3),1,4)-WEEKDAY(DATE(YEAR(Config!$B$3),1,4))+1+364&gt;=DATE(YEAR(Config!$B$3)+1,1,4)-WEEKDAY(DATE(YEAR(Config!$B$3)+1,1,4))+1),"",TEXT(DATE(YEAR(Config!$B$3)+IF($A71&gt;=36,0,1),1,4)-WEEKDAY(DATE(YEAR(Config!$B$3)+IF($A71&gt;=36,0,1),1,4))+1+7*($A71-1)+1,"m/d/yy")&amp;" – "&amp;TEXT(DATE(YEAR(Config!$B$3)+IF($A71&gt;=36,0,1),1,4)-WEEKDAY(DATE(YEAR(Config!$B$3)+IF($A71&gt;=36,0,1),1,4))+1+7*($A71-1)+7,"m/d/yy"))</f>
        <v>11/9/26 – 11/15/26</v>
      </c>
    </row>
    <row r="72" spans="1:7" x14ac:dyDescent="0.2">
      <c r="A72" s="5">
        <v>46</v>
      </c>
      <c r="B72" s="5" t="str">
        <f>IF(COUNTIFS(Weekly_Local!$U:$U,"2022-23",Weekly_Local!$T:$T,$A72,Weekly_Local!$C:$C,"&lt;&gt;")=0,"",SUMIFS(Weekly_Local!$C:$C,Weekly_Local!$U:$U,"2022-23",Weekly_Local!$T:$T,$A72))</f>
        <v/>
      </c>
      <c r="C72" s="5">
        <f>IF(COUNTIFS(Weekly_Local!$U:$U,"2023-24",Weekly_Local!$T:$T,$A72,Weekly_Local!$C:$C,"&lt;&gt;")=0,"",SUMIFS(Weekly_Local!$C:$C,Weekly_Local!$U:$U,"2023-24",Weekly_Local!$T:$T,$A72))</f>
        <v>4</v>
      </c>
      <c r="D72" s="5">
        <f>IF(COUNTIFS(Weekly_Local!$U:$U,"2024-25",Weekly_Local!$T:$T,$A72,Weekly_Local!$C:$C,"&lt;&gt;")=0,"",SUMIFS(Weekly_Local!$C:$C,Weekly_Local!$U:$U,"2024-25",Weekly_Local!$T:$T,$A72))</f>
        <v>0</v>
      </c>
      <c r="E72" s="5">
        <f>IF(COUNTIFS(Weekly_Local!$U:$U,"2025-26",Weekly_Local!$T:$T,$A72,Weekly_Local!$C:$C,"&lt;&gt;")=0,"",SUMIFS(Weekly_Local!$C:$C,Weekly_Local!$U:$U,"2025-26",Weekly_Local!$T:$T,$A72))</f>
        <v>0</v>
      </c>
      <c r="F72" s="5" t="str">
        <f>IF(COUNTIFS(Weekly_Local!$U:$U,"2026-27",Weekly_Local!$T:$T,$A72,Weekly_Local!$C:$C,"&lt;&gt;")=0,"",SUMIFS(Weekly_Local!$C:$C,Weekly_Local!$U:$U,"2026-27",Weekly_Local!$T:$T,$A72))</f>
        <v/>
      </c>
      <c r="G72" s="5" t="str">
        <f>IF(AND($A72=53,DATE(YEAR(Config!$B$3),1,4)-WEEKDAY(DATE(YEAR(Config!$B$3),1,4))+1+364&gt;=DATE(YEAR(Config!$B$3)+1,1,4)-WEEKDAY(DATE(YEAR(Config!$B$3)+1,1,4))+1),"",TEXT(DATE(YEAR(Config!$B$3)+IF($A72&gt;=36,0,1),1,4)-WEEKDAY(DATE(YEAR(Config!$B$3)+IF($A72&gt;=36,0,1),1,4))+1+7*($A72-1)+1,"m/d/yy")&amp;" – "&amp;TEXT(DATE(YEAR(Config!$B$3)+IF($A72&gt;=36,0,1),1,4)-WEEKDAY(DATE(YEAR(Config!$B$3)+IF($A72&gt;=36,0,1),1,4))+1+7*($A72-1)+7,"m/d/yy"))</f>
        <v>11/16/26 – 11/22/26</v>
      </c>
    </row>
    <row r="73" spans="1:7" x14ac:dyDescent="0.2">
      <c r="A73" s="5">
        <v>47</v>
      </c>
      <c r="B73" s="5" t="str">
        <f>IF(COUNTIFS(Weekly_Local!$U:$U,"2022-23",Weekly_Local!$T:$T,$A73,Weekly_Local!$C:$C,"&lt;&gt;")=0,"",SUMIFS(Weekly_Local!$C:$C,Weekly_Local!$U:$U,"2022-23",Weekly_Local!$T:$T,$A73))</f>
        <v/>
      </c>
      <c r="C73" s="5">
        <f>IF(COUNTIFS(Weekly_Local!$U:$U,"2023-24",Weekly_Local!$T:$T,$A73,Weekly_Local!$C:$C,"&lt;&gt;")=0,"",SUMIFS(Weekly_Local!$C:$C,Weekly_Local!$U:$U,"2023-24",Weekly_Local!$T:$T,$A73))</f>
        <v>2</v>
      </c>
      <c r="D73" s="5">
        <f>IF(COUNTIFS(Weekly_Local!$U:$U,"2024-25",Weekly_Local!$T:$T,$A73,Weekly_Local!$C:$C,"&lt;&gt;")=0,"",SUMIFS(Weekly_Local!$C:$C,Weekly_Local!$U:$U,"2024-25",Weekly_Local!$T:$T,$A73))</f>
        <v>1</v>
      </c>
      <c r="E73" s="5">
        <f>IF(COUNTIFS(Weekly_Local!$U:$U,"2025-26",Weekly_Local!$T:$T,$A73,Weekly_Local!$C:$C,"&lt;&gt;")=0,"",SUMIFS(Weekly_Local!$C:$C,Weekly_Local!$U:$U,"2025-26",Weekly_Local!$T:$T,$A73))</f>
        <v>1</v>
      </c>
      <c r="F73" s="5" t="str">
        <f>IF(COUNTIFS(Weekly_Local!$U:$U,"2026-27",Weekly_Local!$T:$T,$A73,Weekly_Local!$C:$C,"&lt;&gt;")=0,"",SUMIFS(Weekly_Local!$C:$C,Weekly_Local!$U:$U,"2026-27",Weekly_Local!$T:$T,$A73))</f>
        <v/>
      </c>
      <c r="G73" s="5" t="str">
        <f>IF(AND($A73=53,DATE(YEAR(Config!$B$3),1,4)-WEEKDAY(DATE(YEAR(Config!$B$3),1,4))+1+364&gt;=DATE(YEAR(Config!$B$3)+1,1,4)-WEEKDAY(DATE(YEAR(Config!$B$3)+1,1,4))+1),"",TEXT(DATE(YEAR(Config!$B$3)+IF($A73&gt;=36,0,1),1,4)-WEEKDAY(DATE(YEAR(Config!$B$3)+IF($A73&gt;=36,0,1),1,4))+1+7*($A73-1)+1,"m/d/yy")&amp;" – "&amp;TEXT(DATE(YEAR(Config!$B$3)+IF($A73&gt;=36,0,1),1,4)-WEEKDAY(DATE(YEAR(Config!$B$3)+IF($A73&gt;=36,0,1),1,4))+1+7*($A73-1)+7,"m/d/yy"))</f>
        <v>11/23/26 – 11/29/26</v>
      </c>
    </row>
    <row r="74" spans="1:7" x14ac:dyDescent="0.2">
      <c r="A74" s="5">
        <v>48</v>
      </c>
      <c r="B74" s="5">
        <f>IF(COUNTIFS(Weekly_Local!$U:$U,"2022-23",Weekly_Local!$T:$T,$A74,Weekly_Local!$C:$C,"&lt;&gt;")=0,"",SUMIFS(Weekly_Local!$C:$C,Weekly_Local!$U:$U,"2022-23",Weekly_Local!$T:$T,$A74))</f>
        <v>2</v>
      </c>
      <c r="C74" s="5">
        <f>IF(COUNTIFS(Weekly_Local!$U:$U,"2023-24",Weekly_Local!$T:$T,$A74,Weekly_Local!$C:$C,"&lt;&gt;")=0,"",SUMIFS(Weekly_Local!$C:$C,Weekly_Local!$U:$U,"2023-24",Weekly_Local!$T:$T,$A74))</f>
        <v>4</v>
      </c>
      <c r="D74" s="5">
        <f>IF(COUNTIFS(Weekly_Local!$U:$U,"2024-25",Weekly_Local!$T:$T,$A74,Weekly_Local!$C:$C,"&lt;&gt;")=0,"",SUMIFS(Weekly_Local!$C:$C,Weekly_Local!$U:$U,"2024-25",Weekly_Local!$T:$T,$A74))</f>
        <v>0</v>
      </c>
      <c r="E74" s="5">
        <f>IF(COUNTIFS(Weekly_Local!$U:$U,"2025-26",Weekly_Local!$T:$T,$A74,Weekly_Local!$C:$C,"&lt;&gt;")=0,"",SUMIFS(Weekly_Local!$C:$C,Weekly_Local!$U:$U,"2025-26",Weekly_Local!$T:$T,$A74))</f>
        <v>0</v>
      </c>
      <c r="F74" s="5" t="str">
        <f>IF(COUNTIFS(Weekly_Local!$U:$U,"2026-27",Weekly_Local!$T:$T,$A74,Weekly_Local!$C:$C,"&lt;&gt;")=0,"",SUMIFS(Weekly_Local!$C:$C,Weekly_Local!$U:$U,"2026-27",Weekly_Local!$T:$T,$A74))</f>
        <v/>
      </c>
      <c r="G74" s="5" t="str">
        <f>IF(AND($A74=53,DATE(YEAR(Config!$B$3),1,4)-WEEKDAY(DATE(YEAR(Config!$B$3),1,4))+1+364&gt;=DATE(YEAR(Config!$B$3)+1,1,4)-WEEKDAY(DATE(YEAR(Config!$B$3)+1,1,4))+1),"",TEXT(DATE(YEAR(Config!$B$3)+IF($A74&gt;=36,0,1),1,4)-WEEKDAY(DATE(YEAR(Config!$B$3)+IF($A74&gt;=36,0,1),1,4))+1+7*($A74-1)+1,"m/d/yy")&amp;" – "&amp;TEXT(DATE(YEAR(Config!$B$3)+IF($A74&gt;=36,0,1),1,4)-WEEKDAY(DATE(YEAR(Config!$B$3)+IF($A74&gt;=36,0,1),1,4))+1+7*($A74-1)+7,"m/d/yy"))</f>
        <v>11/30/26 – 12/6/26</v>
      </c>
    </row>
    <row r="75" spans="1:7" x14ac:dyDescent="0.2">
      <c r="A75" s="5">
        <v>49</v>
      </c>
      <c r="B75" s="5">
        <f>IF(COUNTIFS(Weekly_Local!$U:$U,"2022-23",Weekly_Local!$T:$T,$A75,Weekly_Local!$C:$C,"&lt;&gt;")=0,"",SUMIFS(Weekly_Local!$C:$C,Weekly_Local!$U:$U,"2022-23",Weekly_Local!$T:$T,$A75))</f>
        <v>2</v>
      </c>
      <c r="C75" s="5">
        <f>IF(COUNTIFS(Weekly_Local!$U:$U,"2023-24",Weekly_Local!$T:$T,$A75,Weekly_Local!$C:$C,"&lt;&gt;")=0,"",SUMIFS(Weekly_Local!$C:$C,Weekly_Local!$U:$U,"2023-24",Weekly_Local!$T:$T,$A75))</f>
        <v>1</v>
      </c>
      <c r="D75" s="5">
        <f>IF(COUNTIFS(Weekly_Local!$U:$U,"2024-25",Weekly_Local!$T:$T,$A75,Weekly_Local!$C:$C,"&lt;&gt;")=0,"",SUMIFS(Weekly_Local!$C:$C,Weekly_Local!$U:$U,"2024-25",Weekly_Local!$T:$T,$A75))</f>
        <v>4</v>
      </c>
      <c r="E75" s="5">
        <f>IF(COUNTIFS(Weekly_Local!$U:$U,"2025-26",Weekly_Local!$T:$T,$A75,Weekly_Local!$C:$C,"&lt;&gt;")=0,"",SUMIFS(Weekly_Local!$C:$C,Weekly_Local!$U:$U,"2025-26",Weekly_Local!$T:$T,$A75))</f>
        <v>1</v>
      </c>
      <c r="F75" s="5" t="str">
        <f>IF(COUNTIFS(Weekly_Local!$U:$U,"2026-27",Weekly_Local!$T:$T,$A75,Weekly_Local!$C:$C,"&lt;&gt;")=0,"",SUMIFS(Weekly_Local!$C:$C,Weekly_Local!$U:$U,"2026-27",Weekly_Local!$T:$T,$A75))</f>
        <v/>
      </c>
      <c r="G75" s="5" t="str">
        <f>IF(AND($A75=53,DATE(YEAR(Config!$B$3),1,4)-WEEKDAY(DATE(YEAR(Config!$B$3),1,4))+1+364&gt;=DATE(YEAR(Config!$B$3)+1,1,4)-WEEKDAY(DATE(YEAR(Config!$B$3)+1,1,4))+1),"",TEXT(DATE(YEAR(Config!$B$3)+IF($A75&gt;=36,0,1),1,4)-WEEKDAY(DATE(YEAR(Config!$B$3)+IF($A75&gt;=36,0,1),1,4))+1+7*($A75-1)+1,"m/d/yy")&amp;" – "&amp;TEXT(DATE(YEAR(Config!$B$3)+IF($A75&gt;=36,0,1),1,4)-WEEKDAY(DATE(YEAR(Config!$B$3)+IF($A75&gt;=36,0,1),1,4))+1+7*($A75-1)+7,"m/d/yy"))</f>
        <v>12/7/26 – 12/13/26</v>
      </c>
    </row>
    <row r="76" spans="1:7" x14ac:dyDescent="0.2">
      <c r="A76" s="5">
        <v>50</v>
      </c>
      <c r="B76" s="5">
        <f>IF(COUNTIFS(Weekly_Local!$U:$U,"2022-23",Weekly_Local!$T:$T,$A76,Weekly_Local!$C:$C,"&lt;&gt;")=0,"",SUMIFS(Weekly_Local!$C:$C,Weekly_Local!$U:$U,"2022-23",Weekly_Local!$T:$T,$A76))</f>
        <v>3</v>
      </c>
      <c r="C76" s="5">
        <f>IF(COUNTIFS(Weekly_Local!$U:$U,"2023-24",Weekly_Local!$T:$T,$A76,Weekly_Local!$C:$C,"&lt;&gt;")=0,"",SUMIFS(Weekly_Local!$C:$C,Weekly_Local!$U:$U,"2023-24",Weekly_Local!$T:$T,$A76))</f>
        <v>2</v>
      </c>
      <c r="D76" s="5">
        <f>IF(COUNTIFS(Weekly_Local!$U:$U,"2024-25",Weekly_Local!$T:$T,$A76,Weekly_Local!$C:$C,"&lt;&gt;")=0,"",SUMIFS(Weekly_Local!$C:$C,Weekly_Local!$U:$U,"2024-25",Weekly_Local!$T:$T,$A76))</f>
        <v>5</v>
      </c>
      <c r="E76" s="5">
        <f>IF(COUNTIFS(Weekly_Local!$U:$U,"2025-26",Weekly_Local!$T:$T,$A76,Weekly_Local!$C:$C,"&lt;&gt;")=0,"",SUMIFS(Weekly_Local!$C:$C,Weekly_Local!$U:$U,"2025-26",Weekly_Local!$T:$T,$A76))</f>
        <v>3</v>
      </c>
      <c r="F76" s="5" t="str">
        <f>IF(COUNTIFS(Weekly_Local!$U:$U,"2026-27",Weekly_Local!$T:$T,$A76,Weekly_Local!$C:$C,"&lt;&gt;")=0,"",SUMIFS(Weekly_Local!$C:$C,Weekly_Local!$U:$U,"2026-27",Weekly_Local!$T:$T,$A76))</f>
        <v/>
      </c>
      <c r="G76" s="5" t="str">
        <f>IF(AND($A76=53,DATE(YEAR(Config!$B$3),1,4)-WEEKDAY(DATE(YEAR(Config!$B$3),1,4))+1+364&gt;=DATE(YEAR(Config!$B$3)+1,1,4)-WEEKDAY(DATE(YEAR(Config!$B$3)+1,1,4))+1),"",TEXT(DATE(YEAR(Config!$B$3)+IF($A76&gt;=36,0,1),1,4)-WEEKDAY(DATE(YEAR(Config!$B$3)+IF($A76&gt;=36,0,1),1,4))+1+7*($A76-1)+1,"m/d/yy")&amp;" – "&amp;TEXT(DATE(YEAR(Config!$B$3)+IF($A76&gt;=36,0,1),1,4)-WEEKDAY(DATE(YEAR(Config!$B$3)+IF($A76&gt;=36,0,1),1,4))+1+7*($A76-1)+7,"m/d/yy"))</f>
        <v>12/14/26 – 12/20/26</v>
      </c>
    </row>
    <row r="77" spans="1:7" x14ac:dyDescent="0.2">
      <c r="A77" s="5">
        <v>51</v>
      </c>
      <c r="B77" s="5">
        <f>IF(COUNTIFS(Weekly_Local!$U:$U,"2022-23",Weekly_Local!$T:$T,$A77,Weekly_Local!$C:$C,"&lt;&gt;")=0,"",SUMIFS(Weekly_Local!$C:$C,Weekly_Local!$U:$U,"2022-23",Weekly_Local!$T:$T,$A77))</f>
        <v>1</v>
      </c>
      <c r="C77" s="5">
        <f>IF(COUNTIFS(Weekly_Local!$U:$U,"2023-24",Weekly_Local!$T:$T,$A77,Weekly_Local!$C:$C,"&lt;&gt;")=0,"",SUMIFS(Weekly_Local!$C:$C,Weekly_Local!$U:$U,"2023-24",Weekly_Local!$T:$T,$A77))</f>
        <v>19</v>
      </c>
      <c r="D77" s="5">
        <f>IF(COUNTIFS(Weekly_Local!$U:$U,"2024-25",Weekly_Local!$T:$T,$A77,Weekly_Local!$C:$C,"&lt;&gt;")=0,"",SUMIFS(Weekly_Local!$C:$C,Weekly_Local!$U:$U,"2024-25",Weekly_Local!$T:$T,$A77))</f>
        <v>11</v>
      </c>
      <c r="E77" s="5">
        <f>IF(COUNTIFS(Weekly_Local!$U:$U,"2025-26",Weekly_Local!$T:$T,$A77,Weekly_Local!$C:$C,"&lt;&gt;")=0,"",SUMIFS(Weekly_Local!$C:$C,Weekly_Local!$U:$U,"2025-26",Weekly_Local!$T:$T,$A77))</f>
        <v>4</v>
      </c>
      <c r="F77" s="5" t="str">
        <f>IF(COUNTIFS(Weekly_Local!$U:$U,"2026-27",Weekly_Local!$T:$T,$A77,Weekly_Local!$C:$C,"&lt;&gt;")=0,"",SUMIFS(Weekly_Local!$C:$C,Weekly_Local!$U:$U,"2026-27",Weekly_Local!$T:$T,$A77))</f>
        <v/>
      </c>
      <c r="G77" s="5" t="str">
        <f>IF(AND($A77=53,DATE(YEAR(Config!$B$3),1,4)-WEEKDAY(DATE(YEAR(Config!$B$3),1,4))+1+364&gt;=DATE(YEAR(Config!$B$3)+1,1,4)-WEEKDAY(DATE(YEAR(Config!$B$3)+1,1,4))+1),"",TEXT(DATE(YEAR(Config!$B$3)+IF($A77&gt;=36,0,1),1,4)-WEEKDAY(DATE(YEAR(Config!$B$3)+IF($A77&gt;=36,0,1),1,4))+1+7*($A77-1)+1,"m/d/yy")&amp;" – "&amp;TEXT(DATE(YEAR(Config!$B$3)+IF($A77&gt;=36,0,1),1,4)-WEEKDAY(DATE(YEAR(Config!$B$3)+IF($A77&gt;=36,0,1),1,4))+1+7*($A77-1)+7,"m/d/yy"))</f>
        <v>12/21/26 – 12/27/26</v>
      </c>
    </row>
    <row r="78" spans="1:7" x14ac:dyDescent="0.2">
      <c r="A78" s="5">
        <v>52</v>
      </c>
      <c r="B78" s="5">
        <f>IF(COUNTIFS(Weekly_Local!$U:$U,"2022-23",Weekly_Local!$T:$T,$A78,Weekly_Local!$C:$C,"&lt;&gt;")=0,"",SUMIFS(Weekly_Local!$C:$C,Weekly_Local!$U:$U,"2022-23",Weekly_Local!$T:$T,$A78))</f>
        <v>1</v>
      </c>
      <c r="C78" s="5">
        <f>IF(COUNTIFS(Weekly_Local!$U:$U,"2023-24",Weekly_Local!$T:$T,$A78,Weekly_Local!$C:$C,"&lt;&gt;")=0,"",SUMIFS(Weekly_Local!$C:$C,Weekly_Local!$U:$U,"2023-24",Weekly_Local!$T:$T,$A78))</f>
        <v>13</v>
      </c>
      <c r="D78" s="5">
        <f>IF(COUNTIFS(Weekly_Local!$U:$U,"2024-25",Weekly_Local!$T:$T,$A78,Weekly_Local!$C:$C,"&lt;&gt;")=0,"",SUMIFS(Weekly_Local!$C:$C,Weekly_Local!$U:$U,"2024-25",Weekly_Local!$T:$T,$A78))</f>
        <v>19</v>
      </c>
      <c r="E78" s="5">
        <f>IF(COUNTIFS(Weekly_Local!$U:$U,"2025-26",Weekly_Local!$T:$T,$A78,Weekly_Local!$C:$C,"&lt;&gt;")=0,"",SUMIFS(Weekly_Local!$C:$C,Weekly_Local!$U:$U,"2025-26",Weekly_Local!$T:$T,$A78))</f>
        <v>13</v>
      </c>
      <c r="F78" s="5" t="str">
        <f>IF(COUNTIFS(Weekly_Local!$U:$U,"2026-27",Weekly_Local!$T:$T,$A78,Weekly_Local!$C:$C,"&lt;&gt;")=0,"",SUMIFS(Weekly_Local!$C:$C,Weekly_Local!$U:$U,"2026-27",Weekly_Local!$T:$T,$A78))</f>
        <v/>
      </c>
      <c r="G78" s="5" t="str">
        <f>IF(AND($A78=53,DATE(YEAR(Config!$B$3),1,4)-WEEKDAY(DATE(YEAR(Config!$B$3),1,4))+1+364&gt;=DATE(YEAR(Config!$B$3)+1,1,4)-WEEKDAY(DATE(YEAR(Config!$B$3)+1,1,4))+1),"",TEXT(DATE(YEAR(Config!$B$3)+IF($A78&gt;=36,0,1),1,4)-WEEKDAY(DATE(YEAR(Config!$B$3)+IF($A78&gt;=36,0,1),1,4))+1+7*($A78-1)+1,"m/d/yy")&amp;" – "&amp;TEXT(DATE(YEAR(Config!$B$3)+IF($A78&gt;=36,0,1),1,4)-WEEKDAY(DATE(YEAR(Config!$B$3)+IF($A78&gt;=36,0,1),1,4))+1+7*($A78-1)+7,"m/d/yy"))</f>
        <v>12/28/26 – 1/3/27</v>
      </c>
    </row>
    <row r="79" spans="1:7" x14ac:dyDescent="0.2">
      <c r="A79" s="5">
        <v>53</v>
      </c>
      <c r="B79" s="5" t="str">
        <f>IF(COUNTIFS(Weekly_Local!$U:$U,"2022-23",Weekly_Local!$T:$T,$A79,Weekly_Local!$C:$C,"&lt;&gt;")=0,"",SUMIFS(Weekly_Local!$C:$C,Weekly_Local!$U:$U,"2022-23",Weekly_Local!$T:$T,$A79))</f>
        <v/>
      </c>
      <c r="C79" s="5" t="str">
        <f>IF(COUNTIFS(Weekly_Local!$U:$U,"2023-24",Weekly_Local!$T:$T,$A79,Weekly_Local!$C:$C,"&lt;&gt;")=0,"",SUMIFS(Weekly_Local!$C:$C,Weekly_Local!$U:$U,"2023-24",Weekly_Local!$T:$T,$A79))</f>
        <v/>
      </c>
      <c r="D79" s="5" t="str">
        <f>IF(COUNTIFS(Weekly_Local!$U:$U,"2024-25",Weekly_Local!$T:$T,$A79,Weekly_Local!$C:$C,"&lt;&gt;")=0,"",SUMIFS(Weekly_Local!$C:$C,Weekly_Local!$U:$U,"2024-25",Weekly_Local!$T:$T,$A79))</f>
        <v/>
      </c>
      <c r="E79" s="5">
        <f>IF(COUNTIFS(Weekly_Local!$U:$U,"2025-26",Weekly_Local!$T:$T,$A79,Weekly_Local!$C:$C,"&lt;&gt;")=0,"",SUMIFS(Weekly_Local!$C:$C,Weekly_Local!$U:$U,"2025-26",Weekly_Local!$T:$T,$A79))</f>
        <v>10</v>
      </c>
      <c r="F79" s="5" t="str">
        <f>IF(COUNTIFS(Weekly_Local!$U:$U,"2026-27",Weekly_Local!$T:$T,$A79,Weekly_Local!$C:$C,"&lt;&gt;")=0,"",SUMIFS(Weekly_Local!$C:$C,Weekly_Local!$U:$U,"2026-27",Weekly_Local!$T:$T,$A79))</f>
        <v/>
      </c>
      <c r="G79" s="5" t="str">
        <f>IF(AND($A79=53,DATE(YEAR(Config!$B$3),1,4)-WEEKDAY(DATE(YEAR(Config!$B$3),1,4))+1+364&gt;=DATE(YEAR(Config!$B$3)+1,1,4)-WEEKDAY(DATE(YEAR(Config!$B$3)+1,1,4))+1),"",TEXT(DATE(YEAR(Config!$B$3)+IF($A79&gt;=36,0,1),1,4)-WEEKDAY(DATE(YEAR(Config!$B$3)+IF($A79&gt;=36,0,1),1,4))+1+7*($A79-1)+1,"m/d/yy")&amp;" – "&amp;TEXT(DATE(YEAR(Config!$B$3)+IF($A79&gt;=36,0,1),1,4)-WEEKDAY(DATE(YEAR(Config!$B$3)+IF($A79&gt;=36,0,1),1,4))+1+7*($A79-1)+7,"m/d/yy"))</f>
        <v/>
      </c>
    </row>
    <row r="80" spans="1:7" x14ac:dyDescent="0.2">
      <c r="A80" s="5">
        <v>1</v>
      </c>
      <c r="B80" s="5">
        <f>IF(COUNTIFS(Weekly_Local!$U:$U,"2022-23",Weekly_Local!$T:$T,$A80,Weekly_Local!$C:$C,"&lt;&gt;")=0,"",SUMIFS(Weekly_Local!$C:$C,Weekly_Local!$U:$U,"2022-23",Weekly_Local!$T:$T,$A80))</f>
        <v>1</v>
      </c>
      <c r="C80" s="5">
        <f>IF(COUNTIFS(Weekly_Local!$U:$U,"2023-24",Weekly_Local!$T:$T,$A80,Weekly_Local!$C:$C,"&lt;&gt;")=0,"",SUMIFS(Weekly_Local!$C:$C,Weekly_Local!$U:$U,"2023-24",Weekly_Local!$T:$T,$A80))</f>
        <v>24</v>
      </c>
      <c r="D80" s="5">
        <f>IF(COUNTIFS(Weekly_Local!$U:$U,"2024-25",Weekly_Local!$T:$T,$A80,Weekly_Local!$C:$C,"&lt;&gt;")=0,"",SUMIFS(Weekly_Local!$C:$C,Weekly_Local!$U:$U,"2024-25",Weekly_Local!$T:$T,$A80))</f>
        <v>33</v>
      </c>
      <c r="E80" s="5">
        <f>IF(COUNTIFS(Weekly_Local!$U:$U,"2025-26",Weekly_Local!$T:$T,$A80,Weekly_Local!$C:$C,"&lt;&gt;")=0,"",SUMIFS(Weekly_Local!$C:$C,Weekly_Local!$U:$U,"2025-26",Weekly_Local!$T:$T,$A80))</f>
        <v>14</v>
      </c>
      <c r="F80" s="5" t="str">
        <f>IF(COUNTIFS(Weekly_Local!$U:$U,"2026-27",Weekly_Local!$T:$T,$A80,Weekly_Local!$C:$C,"&lt;&gt;")=0,"",SUMIFS(Weekly_Local!$C:$C,Weekly_Local!$U:$U,"2026-27",Weekly_Local!$T:$T,$A80))</f>
        <v/>
      </c>
      <c r="G80" s="5" t="str">
        <f>IF(AND($A80=53,DATE(YEAR(Config!$B$3),1,4)-WEEKDAY(DATE(YEAR(Config!$B$3),1,4))+1+364&gt;=DATE(YEAR(Config!$B$3)+1,1,4)-WEEKDAY(DATE(YEAR(Config!$B$3)+1,1,4))+1),"",TEXT(DATE(YEAR(Config!$B$3)+IF($A80&gt;=36,0,1),1,4)-WEEKDAY(DATE(YEAR(Config!$B$3)+IF($A80&gt;=36,0,1),1,4))+1+7*($A80-1)+1,"m/d/yy")&amp;" – "&amp;TEXT(DATE(YEAR(Config!$B$3)+IF($A80&gt;=36,0,1),1,4)-WEEKDAY(DATE(YEAR(Config!$B$3)+IF($A80&gt;=36,0,1),1,4))+1+7*($A80-1)+7,"m/d/yy"))</f>
        <v>1/4/27 – 1/10/27</v>
      </c>
    </row>
    <row r="81" spans="1:7" x14ac:dyDescent="0.2">
      <c r="A81" s="5">
        <v>2</v>
      </c>
      <c r="B81" s="5">
        <f>IF(COUNTIFS(Weekly_Local!$U:$U,"2022-23",Weekly_Local!$T:$T,$A81,Weekly_Local!$C:$C,"&lt;&gt;")=0,"",SUMIFS(Weekly_Local!$C:$C,Weekly_Local!$U:$U,"2022-23",Weekly_Local!$T:$T,$A81))</f>
        <v>0</v>
      </c>
      <c r="C81" s="5">
        <f>IF(COUNTIFS(Weekly_Local!$U:$U,"2023-24",Weekly_Local!$T:$T,$A81,Weekly_Local!$C:$C,"&lt;&gt;")=0,"",SUMIFS(Weekly_Local!$C:$C,Weekly_Local!$U:$U,"2023-24",Weekly_Local!$T:$T,$A81))</f>
        <v>7</v>
      </c>
      <c r="D81" s="5">
        <f>IF(COUNTIFS(Weekly_Local!$U:$U,"2024-25",Weekly_Local!$T:$T,$A81,Weekly_Local!$C:$C,"&lt;&gt;")=0,"",SUMIFS(Weekly_Local!$C:$C,Weekly_Local!$U:$U,"2024-25",Weekly_Local!$T:$T,$A81))</f>
        <v>16</v>
      </c>
      <c r="E81" s="5">
        <f>IF(COUNTIFS(Weekly_Local!$U:$U,"2025-26",Weekly_Local!$T:$T,$A81,Weekly_Local!$C:$C,"&lt;&gt;")=0,"",SUMIFS(Weekly_Local!$C:$C,Weekly_Local!$U:$U,"2025-26",Weekly_Local!$T:$T,$A81))</f>
        <v>16</v>
      </c>
      <c r="F81" s="5" t="str">
        <f>IF(COUNTIFS(Weekly_Local!$U:$U,"2026-27",Weekly_Local!$T:$T,$A81,Weekly_Local!$C:$C,"&lt;&gt;")=0,"",SUMIFS(Weekly_Local!$C:$C,Weekly_Local!$U:$U,"2026-27",Weekly_Local!$T:$T,$A81))</f>
        <v/>
      </c>
      <c r="G81" s="5" t="str">
        <f>IF(AND($A81=53,DATE(YEAR(Config!$B$3),1,4)-WEEKDAY(DATE(YEAR(Config!$B$3),1,4))+1+364&gt;=DATE(YEAR(Config!$B$3)+1,1,4)-WEEKDAY(DATE(YEAR(Config!$B$3)+1,1,4))+1),"",TEXT(DATE(YEAR(Config!$B$3)+IF($A81&gt;=36,0,1),1,4)-WEEKDAY(DATE(YEAR(Config!$B$3)+IF($A81&gt;=36,0,1),1,4))+1+7*($A81-1)+1,"m/d/yy")&amp;" – "&amp;TEXT(DATE(YEAR(Config!$B$3)+IF($A81&gt;=36,0,1),1,4)-WEEKDAY(DATE(YEAR(Config!$B$3)+IF($A81&gt;=36,0,1),1,4))+1+7*($A81-1)+7,"m/d/yy"))</f>
        <v>1/11/27 – 1/17/27</v>
      </c>
    </row>
    <row r="82" spans="1:7" x14ac:dyDescent="0.2">
      <c r="A82" s="5">
        <v>3</v>
      </c>
      <c r="B82" s="5">
        <f>IF(COUNTIFS(Weekly_Local!$U:$U,"2022-23",Weekly_Local!$T:$T,$A82,Weekly_Local!$C:$C,"&lt;&gt;")=0,"",SUMIFS(Weekly_Local!$C:$C,Weekly_Local!$U:$U,"2022-23",Weekly_Local!$T:$T,$A82))</f>
        <v>0</v>
      </c>
      <c r="C82" s="5">
        <f>IF(COUNTIFS(Weekly_Local!$U:$U,"2023-24",Weekly_Local!$T:$T,$A82,Weekly_Local!$C:$C,"&lt;&gt;")=0,"",SUMIFS(Weekly_Local!$C:$C,Weekly_Local!$U:$U,"2023-24",Weekly_Local!$T:$T,$A82))</f>
        <v>13</v>
      </c>
      <c r="D82" s="5">
        <f>IF(COUNTIFS(Weekly_Local!$U:$U,"2024-25",Weekly_Local!$T:$T,$A82,Weekly_Local!$C:$C,"&lt;&gt;")=0,"",SUMIFS(Weekly_Local!$C:$C,Weekly_Local!$U:$U,"2024-25",Weekly_Local!$T:$T,$A82))</f>
        <v>11</v>
      </c>
      <c r="E82" s="5">
        <f>IF(COUNTIFS(Weekly_Local!$U:$U,"2025-26",Weekly_Local!$T:$T,$A82,Weekly_Local!$C:$C,"&lt;&gt;")=0,"",SUMIFS(Weekly_Local!$C:$C,Weekly_Local!$U:$U,"2025-26",Weekly_Local!$T:$T,$A82))</f>
        <v>30</v>
      </c>
      <c r="F82" s="5" t="str">
        <f>IF(COUNTIFS(Weekly_Local!$U:$U,"2026-27",Weekly_Local!$T:$T,$A82,Weekly_Local!$C:$C,"&lt;&gt;")=0,"",SUMIFS(Weekly_Local!$C:$C,Weekly_Local!$U:$U,"2026-27",Weekly_Local!$T:$T,$A82))</f>
        <v/>
      </c>
      <c r="G82" s="5" t="str">
        <f>IF(AND($A82=53,DATE(YEAR(Config!$B$3),1,4)-WEEKDAY(DATE(YEAR(Config!$B$3),1,4))+1+364&gt;=DATE(YEAR(Config!$B$3)+1,1,4)-WEEKDAY(DATE(YEAR(Config!$B$3)+1,1,4))+1),"",TEXT(DATE(YEAR(Config!$B$3)+IF($A82&gt;=36,0,1),1,4)-WEEKDAY(DATE(YEAR(Config!$B$3)+IF($A82&gt;=36,0,1),1,4))+1+7*($A82-1)+1,"m/d/yy")&amp;" – "&amp;TEXT(DATE(YEAR(Config!$B$3)+IF($A82&gt;=36,0,1),1,4)-WEEKDAY(DATE(YEAR(Config!$B$3)+IF($A82&gt;=36,0,1),1,4))+1+7*($A82-1)+7,"m/d/yy"))</f>
        <v>1/18/27 – 1/24/27</v>
      </c>
    </row>
    <row r="83" spans="1:7" x14ac:dyDescent="0.2">
      <c r="A83" s="5">
        <v>4</v>
      </c>
      <c r="B83" s="5">
        <f>IF(COUNTIFS(Weekly_Local!$U:$U,"2022-23",Weekly_Local!$T:$T,$A83,Weekly_Local!$C:$C,"&lt;&gt;")=0,"",SUMIFS(Weekly_Local!$C:$C,Weekly_Local!$U:$U,"2022-23",Weekly_Local!$T:$T,$A83))</f>
        <v>0</v>
      </c>
      <c r="C83" s="5">
        <f>IF(COUNTIFS(Weekly_Local!$U:$U,"2023-24",Weekly_Local!$T:$T,$A83,Weekly_Local!$C:$C,"&lt;&gt;")=0,"",SUMIFS(Weekly_Local!$C:$C,Weekly_Local!$U:$U,"2023-24",Weekly_Local!$T:$T,$A83))</f>
        <v>6</v>
      </c>
      <c r="D83" s="5">
        <f>IF(COUNTIFS(Weekly_Local!$U:$U,"2024-25",Weekly_Local!$T:$T,$A83,Weekly_Local!$C:$C,"&lt;&gt;")=0,"",SUMIFS(Weekly_Local!$C:$C,Weekly_Local!$U:$U,"2024-25",Weekly_Local!$T:$T,$A83))</f>
        <v>11</v>
      </c>
      <c r="E83" s="5">
        <f>IF(COUNTIFS(Weekly_Local!$U:$U,"2025-26",Weekly_Local!$T:$T,$A83,Weekly_Local!$C:$C,"&lt;&gt;")=0,"",SUMIFS(Weekly_Local!$C:$C,Weekly_Local!$U:$U,"2025-26",Weekly_Local!$T:$T,$A83))</f>
        <v>63</v>
      </c>
      <c r="F83" s="5" t="str">
        <f>IF(COUNTIFS(Weekly_Local!$U:$U,"2026-27",Weekly_Local!$T:$T,$A83,Weekly_Local!$C:$C,"&lt;&gt;")=0,"",SUMIFS(Weekly_Local!$C:$C,Weekly_Local!$U:$U,"2026-27",Weekly_Local!$T:$T,$A83))</f>
        <v/>
      </c>
      <c r="G83" s="5" t="str">
        <f>IF(AND($A83=53,DATE(YEAR(Config!$B$3),1,4)-WEEKDAY(DATE(YEAR(Config!$B$3),1,4))+1+364&gt;=DATE(YEAR(Config!$B$3)+1,1,4)-WEEKDAY(DATE(YEAR(Config!$B$3)+1,1,4))+1),"",TEXT(DATE(YEAR(Config!$B$3)+IF($A83&gt;=36,0,1),1,4)-WEEKDAY(DATE(YEAR(Config!$B$3)+IF($A83&gt;=36,0,1),1,4))+1+7*($A83-1)+1,"m/d/yy")&amp;" – "&amp;TEXT(DATE(YEAR(Config!$B$3)+IF($A83&gt;=36,0,1),1,4)-WEEKDAY(DATE(YEAR(Config!$B$3)+IF($A83&gt;=36,0,1),1,4))+1+7*($A83-1)+7,"m/d/yy"))</f>
        <v>1/25/27 – 1/31/27</v>
      </c>
    </row>
    <row r="84" spans="1:7" x14ac:dyDescent="0.2">
      <c r="A84" s="5">
        <v>5</v>
      </c>
      <c r="B84" s="5">
        <f>IF(COUNTIFS(Weekly_Local!$U:$U,"2022-23",Weekly_Local!$T:$T,$A84,Weekly_Local!$C:$C,"&lt;&gt;")=0,"",SUMIFS(Weekly_Local!$C:$C,Weekly_Local!$U:$U,"2022-23",Weekly_Local!$T:$T,$A84))</f>
        <v>0</v>
      </c>
      <c r="C84" s="5">
        <f>IF(COUNTIFS(Weekly_Local!$U:$U,"2023-24",Weekly_Local!$T:$T,$A84,Weekly_Local!$C:$C,"&lt;&gt;")=0,"",SUMIFS(Weekly_Local!$C:$C,Weekly_Local!$U:$U,"2023-24",Weekly_Local!$T:$T,$A84))</f>
        <v>12</v>
      </c>
      <c r="D84" s="5">
        <f>IF(COUNTIFS(Weekly_Local!$U:$U,"2024-25",Weekly_Local!$T:$T,$A84,Weekly_Local!$C:$C,"&lt;&gt;")=0,"",SUMIFS(Weekly_Local!$C:$C,Weekly_Local!$U:$U,"2024-25",Weekly_Local!$T:$T,$A84))</f>
        <v>19</v>
      </c>
      <c r="E84" s="5">
        <f>IF(COUNTIFS(Weekly_Local!$U:$U,"2025-26",Weekly_Local!$T:$T,$A84,Weekly_Local!$C:$C,"&lt;&gt;")=0,"",SUMIFS(Weekly_Local!$C:$C,Weekly_Local!$U:$U,"2025-26",Weekly_Local!$T:$T,$A84))</f>
        <v>47</v>
      </c>
      <c r="F84" s="5" t="str">
        <f>IF(COUNTIFS(Weekly_Local!$U:$U,"2026-27",Weekly_Local!$T:$T,$A84,Weekly_Local!$C:$C,"&lt;&gt;")=0,"",SUMIFS(Weekly_Local!$C:$C,Weekly_Local!$U:$U,"2026-27",Weekly_Local!$T:$T,$A84))</f>
        <v/>
      </c>
      <c r="G84" s="5" t="str">
        <f>IF(AND($A84=53,DATE(YEAR(Config!$B$3),1,4)-WEEKDAY(DATE(YEAR(Config!$B$3),1,4))+1+364&gt;=DATE(YEAR(Config!$B$3)+1,1,4)-WEEKDAY(DATE(YEAR(Config!$B$3)+1,1,4))+1),"",TEXT(DATE(YEAR(Config!$B$3)+IF($A84&gt;=36,0,1),1,4)-WEEKDAY(DATE(YEAR(Config!$B$3)+IF($A84&gt;=36,0,1),1,4))+1+7*($A84-1)+1,"m/d/yy")&amp;" – "&amp;TEXT(DATE(YEAR(Config!$B$3)+IF($A84&gt;=36,0,1),1,4)-WEEKDAY(DATE(YEAR(Config!$B$3)+IF($A84&gt;=36,0,1),1,4))+1+7*($A84-1)+7,"m/d/yy"))</f>
        <v>2/1/27 – 2/7/27</v>
      </c>
    </row>
    <row r="85" spans="1:7" x14ac:dyDescent="0.2">
      <c r="A85" s="5">
        <v>6</v>
      </c>
      <c r="B85" s="5">
        <f>IF(COUNTIFS(Weekly_Local!$U:$U,"2022-23",Weekly_Local!$T:$T,$A85,Weekly_Local!$C:$C,"&lt;&gt;")=0,"",SUMIFS(Weekly_Local!$C:$C,Weekly_Local!$U:$U,"2022-23",Weekly_Local!$T:$T,$A85))</f>
        <v>2</v>
      </c>
      <c r="C85" s="5">
        <f>IF(COUNTIFS(Weekly_Local!$U:$U,"2023-24",Weekly_Local!$T:$T,$A85,Weekly_Local!$C:$C,"&lt;&gt;")=0,"",SUMIFS(Weekly_Local!$C:$C,Weekly_Local!$U:$U,"2023-24",Weekly_Local!$T:$T,$A85))</f>
        <v>8</v>
      </c>
      <c r="D85" s="5">
        <f>IF(COUNTIFS(Weekly_Local!$U:$U,"2024-25",Weekly_Local!$T:$T,$A85,Weekly_Local!$C:$C,"&lt;&gt;")=0,"",SUMIFS(Weekly_Local!$C:$C,Weekly_Local!$U:$U,"2024-25",Weekly_Local!$T:$T,$A85))</f>
        <v>22</v>
      </c>
      <c r="E85" s="5">
        <f>IF(COUNTIFS(Weekly_Local!$U:$U,"2025-26",Weekly_Local!$T:$T,$A85,Weekly_Local!$C:$C,"&lt;&gt;")=0,"",SUMIFS(Weekly_Local!$C:$C,Weekly_Local!$U:$U,"2025-26",Weekly_Local!$T:$T,$A85))</f>
        <v>15</v>
      </c>
      <c r="F85" s="5" t="str">
        <f>IF(COUNTIFS(Weekly_Local!$U:$U,"2026-27",Weekly_Local!$T:$T,$A85,Weekly_Local!$C:$C,"&lt;&gt;")=0,"",SUMIFS(Weekly_Local!$C:$C,Weekly_Local!$U:$U,"2026-27",Weekly_Local!$T:$T,$A85))</f>
        <v/>
      </c>
      <c r="G85" s="5" t="str">
        <f>IF(AND($A85=53,DATE(YEAR(Config!$B$3),1,4)-WEEKDAY(DATE(YEAR(Config!$B$3),1,4))+1+364&gt;=DATE(YEAR(Config!$B$3)+1,1,4)-WEEKDAY(DATE(YEAR(Config!$B$3)+1,1,4))+1),"",TEXT(DATE(YEAR(Config!$B$3)+IF($A85&gt;=36,0,1),1,4)-WEEKDAY(DATE(YEAR(Config!$B$3)+IF($A85&gt;=36,0,1),1,4))+1+7*($A85-1)+1,"m/d/yy")&amp;" – "&amp;TEXT(DATE(YEAR(Config!$B$3)+IF($A85&gt;=36,0,1),1,4)-WEEKDAY(DATE(YEAR(Config!$B$3)+IF($A85&gt;=36,0,1),1,4))+1+7*($A85-1)+7,"m/d/yy"))</f>
        <v>2/8/27 – 2/14/27</v>
      </c>
    </row>
    <row r="86" spans="1:7" x14ac:dyDescent="0.2">
      <c r="A86" s="5">
        <v>7</v>
      </c>
      <c r="B86" s="5">
        <f>IF(COUNTIFS(Weekly_Local!$U:$U,"2022-23",Weekly_Local!$T:$T,$A86,Weekly_Local!$C:$C,"&lt;&gt;")=0,"",SUMIFS(Weekly_Local!$C:$C,Weekly_Local!$U:$U,"2022-23",Weekly_Local!$T:$T,$A86))</f>
        <v>0</v>
      </c>
      <c r="C86" s="5">
        <f>IF(COUNTIFS(Weekly_Local!$U:$U,"2023-24",Weekly_Local!$T:$T,$A86,Weekly_Local!$C:$C,"&lt;&gt;")=0,"",SUMIFS(Weekly_Local!$C:$C,Weekly_Local!$U:$U,"2023-24",Weekly_Local!$T:$T,$A86))</f>
        <v>6</v>
      </c>
      <c r="D86" s="5">
        <f>IF(COUNTIFS(Weekly_Local!$U:$U,"2024-25",Weekly_Local!$T:$T,$A86,Weekly_Local!$C:$C,"&lt;&gt;")=0,"",SUMIFS(Weekly_Local!$C:$C,Weekly_Local!$U:$U,"2024-25",Weekly_Local!$T:$T,$A86))</f>
        <v>13</v>
      </c>
      <c r="E86" s="5">
        <f>IF(COUNTIFS(Weekly_Local!$U:$U,"2025-26",Weekly_Local!$T:$T,$A86,Weekly_Local!$C:$C,"&lt;&gt;")=0,"",SUMIFS(Weekly_Local!$C:$C,Weekly_Local!$U:$U,"2025-26",Weekly_Local!$T:$T,$A86))</f>
        <v>7</v>
      </c>
      <c r="F86" s="5" t="str">
        <f>IF(COUNTIFS(Weekly_Local!$U:$U,"2026-27",Weekly_Local!$T:$T,$A86,Weekly_Local!$C:$C,"&lt;&gt;")=0,"",SUMIFS(Weekly_Local!$C:$C,Weekly_Local!$U:$U,"2026-27",Weekly_Local!$T:$T,$A86))</f>
        <v/>
      </c>
      <c r="G86" s="5" t="str">
        <f>IF(AND($A86=53,DATE(YEAR(Config!$B$3),1,4)-WEEKDAY(DATE(YEAR(Config!$B$3),1,4))+1+364&gt;=DATE(YEAR(Config!$B$3)+1,1,4)-WEEKDAY(DATE(YEAR(Config!$B$3)+1,1,4))+1),"",TEXT(DATE(YEAR(Config!$B$3)+IF($A86&gt;=36,0,1),1,4)-WEEKDAY(DATE(YEAR(Config!$B$3)+IF($A86&gt;=36,0,1),1,4))+1+7*($A86-1)+1,"m/d/yy")&amp;" – "&amp;TEXT(DATE(YEAR(Config!$B$3)+IF($A86&gt;=36,0,1),1,4)-WEEKDAY(DATE(YEAR(Config!$B$3)+IF($A86&gt;=36,0,1),1,4))+1+7*($A86-1)+7,"m/d/yy"))</f>
        <v>2/15/27 – 2/21/27</v>
      </c>
    </row>
    <row r="87" spans="1:7" x14ac:dyDescent="0.2">
      <c r="A87" s="5">
        <v>8</v>
      </c>
      <c r="B87" s="5">
        <f>IF(COUNTIFS(Weekly_Local!$U:$U,"2022-23",Weekly_Local!$T:$T,$A87,Weekly_Local!$C:$C,"&lt;&gt;")=0,"",SUMIFS(Weekly_Local!$C:$C,Weekly_Local!$U:$U,"2022-23",Weekly_Local!$T:$T,$A87))</f>
        <v>0</v>
      </c>
      <c r="C87" s="5">
        <f>IF(COUNTIFS(Weekly_Local!$U:$U,"2023-24",Weekly_Local!$T:$T,$A87,Weekly_Local!$C:$C,"&lt;&gt;")=0,"",SUMIFS(Weekly_Local!$C:$C,Weekly_Local!$U:$U,"2023-24",Weekly_Local!$T:$T,$A87))</f>
        <v>9</v>
      </c>
      <c r="D87" s="5">
        <f>IF(COUNTIFS(Weekly_Local!$U:$U,"2024-25",Weekly_Local!$T:$T,$A87,Weekly_Local!$C:$C,"&lt;&gt;")=0,"",SUMIFS(Weekly_Local!$C:$C,Weekly_Local!$U:$U,"2024-25",Weekly_Local!$T:$T,$A87))</f>
        <v>8</v>
      </c>
      <c r="E87" s="5">
        <f>IF(COUNTIFS(Weekly_Local!$U:$U,"2025-26",Weekly_Local!$T:$T,$A87,Weekly_Local!$C:$C,"&lt;&gt;")=0,"",SUMIFS(Weekly_Local!$C:$C,Weekly_Local!$U:$U,"2025-26",Weekly_Local!$T:$T,$A87))</f>
        <v>7</v>
      </c>
      <c r="F87" s="5" t="str">
        <f>IF(COUNTIFS(Weekly_Local!$U:$U,"2026-27",Weekly_Local!$T:$T,$A87,Weekly_Local!$C:$C,"&lt;&gt;")=0,"",SUMIFS(Weekly_Local!$C:$C,Weekly_Local!$U:$U,"2026-27",Weekly_Local!$T:$T,$A87))</f>
        <v/>
      </c>
      <c r="G87" s="5" t="str">
        <f>IF(AND($A87=53,DATE(YEAR(Config!$B$3),1,4)-WEEKDAY(DATE(YEAR(Config!$B$3),1,4))+1+364&gt;=DATE(YEAR(Config!$B$3)+1,1,4)-WEEKDAY(DATE(YEAR(Config!$B$3)+1,1,4))+1),"",TEXT(DATE(YEAR(Config!$B$3)+IF($A87&gt;=36,0,1),1,4)-WEEKDAY(DATE(YEAR(Config!$B$3)+IF($A87&gt;=36,0,1),1,4))+1+7*($A87-1)+1,"m/d/yy")&amp;" – "&amp;TEXT(DATE(YEAR(Config!$B$3)+IF($A87&gt;=36,0,1),1,4)-WEEKDAY(DATE(YEAR(Config!$B$3)+IF($A87&gt;=36,0,1),1,4))+1+7*($A87-1)+7,"m/d/yy"))</f>
        <v>2/22/27 – 2/28/27</v>
      </c>
    </row>
    <row r="88" spans="1:7" x14ac:dyDescent="0.2">
      <c r="A88" s="5">
        <v>9</v>
      </c>
      <c r="B88" s="5">
        <f>IF(COUNTIFS(Weekly_Local!$U:$U,"2022-23",Weekly_Local!$T:$T,$A88,Weekly_Local!$C:$C,"&lt;&gt;")=0,"",SUMIFS(Weekly_Local!$C:$C,Weekly_Local!$U:$U,"2022-23",Weekly_Local!$T:$T,$A88))</f>
        <v>0</v>
      </c>
      <c r="C88" s="5">
        <f>IF(COUNTIFS(Weekly_Local!$U:$U,"2023-24",Weekly_Local!$T:$T,$A88,Weekly_Local!$C:$C,"&lt;&gt;")=0,"",SUMIFS(Weekly_Local!$C:$C,Weekly_Local!$U:$U,"2023-24",Weekly_Local!$T:$T,$A88))</f>
        <v>5</v>
      </c>
      <c r="D88" s="5">
        <f>IF(COUNTIFS(Weekly_Local!$U:$U,"2024-25",Weekly_Local!$T:$T,$A88,Weekly_Local!$C:$C,"&lt;&gt;")=0,"",SUMIFS(Weekly_Local!$C:$C,Weekly_Local!$U:$U,"2024-25",Weekly_Local!$T:$T,$A88))</f>
        <v>8</v>
      </c>
      <c r="E88" s="5">
        <f>IF(COUNTIFS(Weekly_Local!$U:$U,"2025-26",Weekly_Local!$T:$T,$A88,Weekly_Local!$C:$C,"&lt;&gt;")=0,"",SUMIFS(Weekly_Local!$C:$C,Weekly_Local!$U:$U,"2025-26",Weekly_Local!$T:$T,$A88))</f>
        <v>5</v>
      </c>
      <c r="F88" s="5" t="str">
        <f>IF(COUNTIFS(Weekly_Local!$U:$U,"2026-27",Weekly_Local!$T:$T,$A88,Weekly_Local!$C:$C,"&lt;&gt;")=0,"",SUMIFS(Weekly_Local!$C:$C,Weekly_Local!$U:$U,"2026-27",Weekly_Local!$T:$T,$A88))</f>
        <v/>
      </c>
      <c r="G88" s="5" t="str">
        <f>IF(AND($A88=53,DATE(YEAR(Config!$B$3),1,4)-WEEKDAY(DATE(YEAR(Config!$B$3),1,4))+1+364&gt;=DATE(YEAR(Config!$B$3)+1,1,4)-WEEKDAY(DATE(YEAR(Config!$B$3)+1,1,4))+1),"",TEXT(DATE(YEAR(Config!$B$3)+IF($A88&gt;=36,0,1),1,4)-WEEKDAY(DATE(YEAR(Config!$B$3)+IF($A88&gt;=36,0,1),1,4))+1+7*($A88-1)+1,"m/d/yy")&amp;" – "&amp;TEXT(DATE(YEAR(Config!$B$3)+IF($A88&gt;=36,0,1),1,4)-WEEKDAY(DATE(YEAR(Config!$B$3)+IF($A88&gt;=36,0,1),1,4))+1+7*($A88-1)+7,"m/d/yy"))</f>
        <v>3/1/27 – 3/7/27</v>
      </c>
    </row>
    <row r="89" spans="1:7" x14ac:dyDescent="0.2">
      <c r="A89" s="5">
        <v>10</v>
      </c>
      <c r="B89" s="5">
        <f>IF(COUNTIFS(Weekly_Local!$U:$U,"2022-23",Weekly_Local!$T:$T,$A89,Weekly_Local!$C:$C,"&lt;&gt;")=0,"",SUMIFS(Weekly_Local!$C:$C,Weekly_Local!$U:$U,"2022-23",Weekly_Local!$T:$T,$A89))</f>
        <v>0</v>
      </c>
      <c r="C89" s="5">
        <f>IF(COUNTIFS(Weekly_Local!$U:$U,"2023-24",Weekly_Local!$T:$T,$A89,Weekly_Local!$C:$C,"&lt;&gt;")=0,"",SUMIFS(Weekly_Local!$C:$C,Weekly_Local!$U:$U,"2023-24",Weekly_Local!$T:$T,$A89))</f>
        <v>1</v>
      </c>
      <c r="D89" s="5">
        <f>IF(COUNTIFS(Weekly_Local!$U:$U,"2024-25",Weekly_Local!$T:$T,$A89,Weekly_Local!$C:$C,"&lt;&gt;")=0,"",SUMIFS(Weekly_Local!$C:$C,Weekly_Local!$U:$U,"2024-25",Weekly_Local!$T:$T,$A89))</f>
        <v>2</v>
      </c>
      <c r="E89" s="5">
        <f>IF(COUNTIFS(Weekly_Local!$U:$U,"2025-26",Weekly_Local!$T:$T,$A89,Weekly_Local!$C:$C,"&lt;&gt;")=0,"",SUMIFS(Weekly_Local!$C:$C,Weekly_Local!$U:$U,"2025-26",Weekly_Local!$T:$T,$A89))</f>
        <v>5</v>
      </c>
      <c r="F89" s="5" t="str">
        <f>IF(COUNTIFS(Weekly_Local!$U:$U,"2026-27",Weekly_Local!$T:$T,$A89,Weekly_Local!$C:$C,"&lt;&gt;")=0,"",SUMIFS(Weekly_Local!$C:$C,Weekly_Local!$U:$U,"2026-27",Weekly_Local!$T:$T,$A89))</f>
        <v/>
      </c>
      <c r="G89" s="5" t="str">
        <f>IF(AND($A89=53,DATE(YEAR(Config!$B$3),1,4)-WEEKDAY(DATE(YEAR(Config!$B$3),1,4))+1+364&gt;=DATE(YEAR(Config!$B$3)+1,1,4)-WEEKDAY(DATE(YEAR(Config!$B$3)+1,1,4))+1),"",TEXT(DATE(YEAR(Config!$B$3)+IF($A89&gt;=36,0,1),1,4)-WEEKDAY(DATE(YEAR(Config!$B$3)+IF($A89&gt;=36,0,1),1,4))+1+7*($A89-1)+1,"m/d/yy")&amp;" – "&amp;TEXT(DATE(YEAR(Config!$B$3)+IF($A89&gt;=36,0,1),1,4)-WEEKDAY(DATE(YEAR(Config!$B$3)+IF($A89&gt;=36,0,1),1,4))+1+7*($A89-1)+7,"m/d/yy"))</f>
        <v>3/8/27 – 3/14/27</v>
      </c>
    </row>
    <row r="90" spans="1:7" x14ac:dyDescent="0.2">
      <c r="A90" s="5">
        <v>11</v>
      </c>
      <c r="B90" s="5">
        <f>IF(COUNTIFS(Weekly_Local!$U:$U,"2022-23",Weekly_Local!$T:$T,$A90,Weekly_Local!$C:$C,"&lt;&gt;")=0,"",SUMIFS(Weekly_Local!$C:$C,Weekly_Local!$U:$U,"2022-23",Weekly_Local!$T:$T,$A90))</f>
        <v>0</v>
      </c>
      <c r="C90" s="5">
        <f>IF(COUNTIFS(Weekly_Local!$U:$U,"2023-24",Weekly_Local!$T:$T,$A90,Weekly_Local!$C:$C,"&lt;&gt;")=0,"",SUMIFS(Weekly_Local!$C:$C,Weekly_Local!$U:$U,"2023-24",Weekly_Local!$T:$T,$A90))</f>
        <v>6</v>
      </c>
      <c r="D90" s="5">
        <f>IF(COUNTIFS(Weekly_Local!$U:$U,"2024-25",Weekly_Local!$T:$T,$A90,Weekly_Local!$C:$C,"&lt;&gt;")=0,"",SUMIFS(Weekly_Local!$C:$C,Weekly_Local!$U:$U,"2024-25",Weekly_Local!$T:$T,$A90))</f>
        <v>6</v>
      </c>
      <c r="E90" s="5">
        <f>IF(COUNTIFS(Weekly_Local!$U:$U,"2025-26",Weekly_Local!$T:$T,$A90,Weekly_Local!$C:$C,"&lt;&gt;")=0,"",SUMIFS(Weekly_Local!$C:$C,Weekly_Local!$U:$U,"2025-26",Weekly_Local!$T:$T,$A90))</f>
        <v>6</v>
      </c>
      <c r="F90" s="5" t="str">
        <f>IF(COUNTIFS(Weekly_Local!$U:$U,"2026-27",Weekly_Local!$T:$T,$A90,Weekly_Local!$C:$C,"&lt;&gt;")=0,"",SUMIFS(Weekly_Local!$C:$C,Weekly_Local!$U:$U,"2026-27",Weekly_Local!$T:$T,$A90))</f>
        <v/>
      </c>
      <c r="G90" s="5" t="str">
        <f>IF(AND($A90=53,DATE(YEAR(Config!$B$3),1,4)-WEEKDAY(DATE(YEAR(Config!$B$3),1,4))+1+364&gt;=DATE(YEAR(Config!$B$3)+1,1,4)-WEEKDAY(DATE(YEAR(Config!$B$3)+1,1,4))+1),"",TEXT(DATE(YEAR(Config!$B$3)+IF($A90&gt;=36,0,1),1,4)-WEEKDAY(DATE(YEAR(Config!$B$3)+IF($A90&gt;=36,0,1),1,4))+1+7*($A90-1)+1,"m/d/yy")&amp;" – "&amp;TEXT(DATE(YEAR(Config!$B$3)+IF($A90&gt;=36,0,1),1,4)-WEEKDAY(DATE(YEAR(Config!$B$3)+IF($A90&gt;=36,0,1),1,4))+1+7*($A90-1)+7,"m/d/yy"))</f>
        <v>3/15/27 – 3/21/27</v>
      </c>
    </row>
    <row r="91" spans="1:7" x14ac:dyDescent="0.2">
      <c r="A91" s="5">
        <v>12</v>
      </c>
      <c r="B91" s="5">
        <f>IF(COUNTIFS(Weekly_Local!$U:$U,"2022-23",Weekly_Local!$T:$T,$A91,Weekly_Local!$C:$C,"&lt;&gt;")=0,"",SUMIFS(Weekly_Local!$C:$C,Weekly_Local!$U:$U,"2022-23",Weekly_Local!$T:$T,$A91))</f>
        <v>0</v>
      </c>
      <c r="C91" s="5">
        <f>IF(COUNTIFS(Weekly_Local!$U:$U,"2023-24",Weekly_Local!$T:$T,$A91,Weekly_Local!$C:$C,"&lt;&gt;")=0,"",SUMIFS(Weekly_Local!$C:$C,Weekly_Local!$U:$U,"2023-24",Weekly_Local!$T:$T,$A91))</f>
        <v>2</v>
      </c>
      <c r="D91" s="5">
        <f>IF(COUNTIFS(Weekly_Local!$U:$U,"2024-25",Weekly_Local!$T:$T,$A91,Weekly_Local!$C:$C,"&lt;&gt;")=0,"",SUMIFS(Weekly_Local!$C:$C,Weekly_Local!$U:$U,"2024-25",Weekly_Local!$T:$T,$A91))</f>
        <v>5</v>
      </c>
      <c r="E91" s="5">
        <f>IF(COUNTIFS(Weekly_Local!$U:$U,"2025-26",Weekly_Local!$T:$T,$A91,Weekly_Local!$C:$C,"&lt;&gt;")=0,"",SUMIFS(Weekly_Local!$C:$C,Weekly_Local!$U:$U,"2025-26",Weekly_Local!$T:$T,$A91))</f>
        <v>7</v>
      </c>
      <c r="F91" s="5" t="str">
        <f>IF(COUNTIFS(Weekly_Local!$U:$U,"2026-27",Weekly_Local!$T:$T,$A91,Weekly_Local!$C:$C,"&lt;&gt;")=0,"",SUMIFS(Weekly_Local!$C:$C,Weekly_Local!$U:$U,"2026-27",Weekly_Local!$T:$T,$A91))</f>
        <v/>
      </c>
      <c r="G91" s="5" t="str">
        <f>IF(AND($A91=53,DATE(YEAR(Config!$B$3),1,4)-WEEKDAY(DATE(YEAR(Config!$B$3),1,4))+1+364&gt;=DATE(YEAR(Config!$B$3)+1,1,4)-WEEKDAY(DATE(YEAR(Config!$B$3)+1,1,4))+1),"",TEXT(DATE(YEAR(Config!$B$3)+IF($A91&gt;=36,0,1),1,4)-WEEKDAY(DATE(YEAR(Config!$B$3)+IF($A91&gt;=36,0,1),1,4))+1+7*($A91-1)+1,"m/d/yy")&amp;" – "&amp;TEXT(DATE(YEAR(Config!$B$3)+IF($A91&gt;=36,0,1),1,4)-WEEKDAY(DATE(YEAR(Config!$B$3)+IF($A91&gt;=36,0,1),1,4))+1+7*($A91-1)+7,"m/d/yy"))</f>
        <v>3/22/27 – 3/28/27</v>
      </c>
    </row>
    <row r="92" spans="1:7" x14ac:dyDescent="0.2">
      <c r="A92" s="5">
        <v>13</v>
      </c>
      <c r="B92" s="5">
        <f>IF(COUNTIFS(Weekly_Local!$U:$U,"2022-23",Weekly_Local!$T:$T,$A92,Weekly_Local!$C:$C,"&lt;&gt;")=0,"",SUMIFS(Weekly_Local!$C:$C,Weekly_Local!$U:$U,"2022-23",Weekly_Local!$T:$T,$A92))</f>
        <v>0</v>
      </c>
      <c r="C92" s="5">
        <f>IF(COUNTIFS(Weekly_Local!$U:$U,"2023-24",Weekly_Local!$T:$T,$A92,Weekly_Local!$C:$C,"&lt;&gt;")=0,"",SUMIFS(Weekly_Local!$C:$C,Weekly_Local!$U:$U,"2023-24",Weekly_Local!$T:$T,$A92))</f>
        <v>2</v>
      </c>
      <c r="D92" s="5">
        <f>IF(COUNTIFS(Weekly_Local!$U:$U,"2024-25",Weekly_Local!$T:$T,$A92,Weekly_Local!$C:$C,"&lt;&gt;")=0,"",SUMIFS(Weekly_Local!$C:$C,Weekly_Local!$U:$U,"2024-25",Weekly_Local!$T:$T,$A92))</f>
        <v>3</v>
      </c>
      <c r="E92" s="5">
        <f>IF(COUNTIFS(Weekly_Local!$U:$U,"2025-26",Weekly_Local!$T:$T,$A92,Weekly_Local!$C:$C,"&lt;&gt;")=0,"",SUMIFS(Weekly_Local!$C:$C,Weekly_Local!$U:$U,"2025-26",Weekly_Local!$T:$T,$A92))</f>
        <v>2</v>
      </c>
      <c r="F92" s="5" t="str">
        <f>IF(COUNTIFS(Weekly_Local!$U:$U,"2026-27",Weekly_Local!$T:$T,$A92,Weekly_Local!$C:$C,"&lt;&gt;")=0,"",SUMIFS(Weekly_Local!$C:$C,Weekly_Local!$U:$U,"2026-27",Weekly_Local!$T:$T,$A92))</f>
        <v/>
      </c>
      <c r="G92" s="5" t="str">
        <f>IF(AND($A92=53,DATE(YEAR(Config!$B$3),1,4)-WEEKDAY(DATE(YEAR(Config!$B$3),1,4))+1+364&gt;=DATE(YEAR(Config!$B$3)+1,1,4)-WEEKDAY(DATE(YEAR(Config!$B$3)+1,1,4))+1),"",TEXT(DATE(YEAR(Config!$B$3)+IF($A92&gt;=36,0,1),1,4)-WEEKDAY(DATE(YEAR(Config!$B$3)+IF($A92&gt;=36,0,1),1,4))+1+7*($A92-1)+1,"m/d/yy")&amp;" – "&amp;TEXT(DATE(YEAR(Config!$B$3)+IF($A92&gt;=36,0,1),1,4)-WEEKDAY(DATE(YEAR(Config!$B$3)+IF($A92&gt;=36,0,1),1,4))+1+7*($A92-1)+7,"m/d/yy"))</f>
        <v>3/29/27 – 4/4/27</v>
      </c>
    </row>
    <row r="93" spans="1:7" x14ac:dyDescent="0.2">
      <c r="A93" s="5">
        <v>14</v>
      </c>
      <c r="B93" s="5">
        <f>IF(COUNTIFS(Weekly_Local!$U:$U,"2022-23",Weekly_Local!$T:$T,$A93,Weekly_Local!$C:$C,"&lt;&gt;")=0,"",SUMIFS(Weekly_Local!$C:$C,Weekly_Local!$U:$U,"2022-23",Weekly_Local!$T:$T,$A93))</f>
        <v>0</v>
      </c>
      <c r="C93" s="5">
        <f>IF(COUNTIFS(Weekly_Local!$U:$U,"2023-24",Weekly_Local!$T:$T,$A93,Weekly_Local!$C:$C,"&lt;&gt;")=0,"",SUMIFS(Weekly_Local!$C:$C,Weekly_Local!$U:$U,"2023-24",Weekly_Local!$T:$T,$A93))</f>
        <v>5</v>
      </c>
      <c r="D93" s="5">
        <f>IF(COUNTIFS(Weekly_Local!$U:$U,"2024-25",Weekly_Local!$T:$T,$A93,Weekly_Local!$C:$C,"&lt;&gt;")=0,"",SUMIFS(Weekly_Local!$C:$C,Weekly_Local!$U:$U,"2024-25",Weekly_Local!$T:$T,$A93))</f>
        <v>6</v>
      </c>
      <c r="E93" s="5">
        <f>IF(COUNTIFS(Weekly_Local!$U:$U,"2025-26",Weekly_Local!$T:$T,$A93,Weekly_Local!$C:$C,"&lt;&gt;")=0,"",SUMIFS(Weekly_Local!$C:$C,Weekly_Local!$U:$U,"2025-26",Weekly_Local!$T:$T,$A93))</f>
        <v>1</v>
      </c>
      <c r="F93" s="5" t="str">
        <f>IF(COUNTIFS(Weekly_Local!$U:$U,"2026-27",Weekly_Local!$T:$T,$A93,Weekly_Local!$C:$C,"&lt;&gt;")=0,"",SUMIFS(Weekly_Local!$C:$C,Weekly_Local!$U:$U,"2026-27",Weekly_Local!$T:$T,$A93))</f>
        <v/>
      </c>
      <c r="G93" s="5" t="str">
        <f>IF(AND($A93=53,DATE(YEAR(Config!$B$3),1,4)-WEEKDAY(DATE(YEAR(Config!$B$3),1,4))+1+364&gt;=DATE(YEAR(Config!$B$3)+1,1,4)-WEEKDAY(DATE(YEAR(Config!$B$3)+1,1,4))+1),"",TEXT(DATE(YEAR(Config!$B$3)+IF($A93&gt;=36,0,1),1,4)-WEEKDAY(DATE(YEAR(Config!$B$3)+IF($A93&gt;=36,0,1),1,4))+1+7*($A93-1)+1,"m/d/yy")&amp;" – "&amp;TEXT(DATE(YEAR(Config!$B$3)+IF($A93&gt;=36,0,1),1,4)-WEEKDAY(DATE(YEAR(Config!$B$3)+IF($A93&gt;=36,0,1),1,4))+1+7*($A93-1)+7,"m/d/yy"))</f>
        <v>4/5/27 – 4/11/27</v>
      </c>
    </row>
    <row r="94" spans="1:7" x14ac:dyDescent="0.2">
      <c r="A94" s="5">
        <v>15</v>
      </c>
      <c r="B94" s="5">
        <f>IF(COUNTIFS(Weekly_Local!$U:$U,"2022-23",Weekly_Local!$T:$T,$A94,Weekly_Local!$C:$C,"&lt;&gt;")=0,"",SUMIFS(Weekly_Local!$C:$C,Weekly_Local!$U:$U,"2022-23",Weekly_Local!$T:$T,$A94))</f>
        <v>0</v>
      </c>
      <c r="C94" s="5">
        <f>IF(COUNTIFS(Weekly_Local!$U:$U,"2023-24",Weekly_Local!$T:$T,$A94,Weekly_Local!$C:$C,"&lt;&gt;")=0,"",SUMIFS(Weekly_Local!$C:$C,Weekly_Local!$U:$U,"2023-24",Weekly_Local!$T:$T,$A94))</f>
        <v>5</v>
      </c>
      <c r="D94" s="5">
        <f>IF(COUNTIFS(Weekly_Local!$U:$U,"2024-25",Weekly_Local!$T:$T,$A94,Weekly_Local!$C:$C,"&lt;&gt;")=0,"",SUMIFS(Weekly_Local!$C:$C,Weekly_Local!$U:$U,"2024-25",Weekly_Local!$T:$T,$A94))</f>
        <v>1</v>
      </c>
      <c r="E94" s="5">
        <f>IF(COUNTIFS(Weekly_Local!$U:$U,"2025-26",Weekly_Local!$T:$T,$A94,Weekly_Local!$C:$C,"&lt;&gt;")=0,"",SUMIFS(Weekly_Local!$C:$C,Weekly_Local!$U:$U,"2025-26",Weekly_Local!$T:$T,$A94))</f>
        <v>0</v>
      </c>
      <c r="F94" s="5" t="str">
        <f>IF(COUNTIFS(Weekly_Local!$U:$U,"2026-27",Weekly_Local!$T:$T,$A94,Weekly_Local!$C:$C,"&lt;&gt;")=0,"",SUMIFS(Weekly_Local!$C:$C,Weekly_Local!$U:$U,"2026-27",Weekly_Local!$T:$T,$A94))</f>
        <v/>
      </c>
      <c r="G94" s="5" t="str">
        <f>IF(AND($A94=53,DATE(YEAR(Config!$B$3),1,4)-WEEKDAY(DATE(YEAR(Config!$B$3),1,4))+1+364&gt;=DATE(YEAR(Config!$B$3)+1,1,4)-WEEKDAY(DATE(YEAR(Config!$B$3)+1,1,4))+1),"",TEXT(DATE(YEAR(Config!$B$3)+IF($A94&gt;=36,0,1),1,4)-WEEKDAY(DATE(YEAR(Config!$B$3)+IF($A94&gt;=36,0,1),1,4))+1+7*($A94-1)+1,"m/d/yy")&amp;" – "&amp;TEXT(DATE(YEAR(Config!$B$3)+IF($A94&gt;=36,0,1),1,4)-WEEKDAY(DATE(YEAR(Config!$B$3)+IF($A94&gt;=36,0,1),1,4))+1+7*($A94-1)+7,"m/d/yy"))</f>
        <v>4/12/27 – 4/18/27</v>
      </c>
    </row>
    <row r="95" spans="1:7" x14ac:dyDescent="0.2">
      <c r="A95" s="5">
        <v>16</v>
      </c>
      <c r="B95" s="5">
        <f>IF(COUNTIFS(Weekly_Local!$U:$U,"2022-23",Weekly_Local!$T:$T,$A95,Weekly_Local!$C:$C,"&lt;&gt;")=0,"",SUMIFS(Weekly_Local!$C:$C,Weekly_Local!$U:$U,"2022-23",Weekly_Local!$T:$T,$A95))</f>
        <v>0</v>
      </c>
      <c r="C95" s="5">
        <f>IF(COUNTIFS(Weekly_Local!$U:$U,"2023-24",Weekly_Local!$T:$T,$A95,Weekly_Local!$C:$C,"&lt;&gt;")=0,"",SUMIFS(Weekly_Local!$C:$C,Weekly_Local!$U:$U,"2023-24",Weekly_Local!$T:$T,$A95))</f>
        <v>3</v>
      </c>
      <c r="D95" s="5">
        <f>IF(COUNTIFS(Weekly_Local!$U:$U,"2024-25",Weekly_Local!$T:$T,$A95,Weekly_Local!$C:$C,"&lt;&gt;")=0,"",SUMIFS(Weekly_Local!$C:$C,Weekly_Local!$U:$U,"2024-25",Weekly_Local!$T:$T,$A95))</f>
        <v>0</v>
      </c>
      <c r="E95" s="5">
        <f>IF(COUNTIFS(Weekly_Local!$U:$U,"2025-26",Weekly_Local!$T:$T,$A95,Weekly_Local!$C:$C,"&lt;&gt;")=0,"",SUMIFS(Weekly_Local!$C:$C,Weekly_Local!$U:$U,"2025-26",Weekly_Local!$T:$T,$A95))</f>
        <v>1</v>
      </c>
      <c r="F95" s="5" t="str">
        <f>IF(COUNTIFS(Weekly_Local!$U:$U,"2026-27",Weekly_Local!$T:$T,$A95,Weekly_Local!$C:$C,"&lt;&gt;")=0,"",SUMIFS(Weekly_Local!$C:$C,Weekly_Local!$U:$U,"2026-27",Weekly_Local!$T:$T,$A95))</f>
        <v/>
      </c>
      <c r="G95" s="5" t="str">
        <f>IF(AND($A95=53,DATE(YEAR(Config!$B$3),1,4)-WEEKDAY(DATE(YEAR(Config!$B$3),1,4))+1+364&gt;=DATE(YEAR(Config!$B$3)+1,1,4)-WEEKDAY(DATE(YEAR(Config!$B$3)+1,1,4))+1),"",TEXT(DATE(YEAR(Config!$B$3)+IF($A95&gt;=36,0,1),1,4)-WEEKDAY(DATE(YEAR(Config!$B$3)+IF($A95&gt;=36,0,1),1,4))+1+7*($A95-1)+1,"m/d/yy")&amp;" – "&amp;TEXT(DATE(YEAR(Config!$B$3)+IF($A95&gt;=36,0,1),1,4)-WEEKDAY(DATE(YEAR(Config!$B$3)+IF($A95&gt;=36,0,1),1,4))+1+7*($A95-1)+7,"m/d/yy"))</f>
        <v>4/19/27 – 4/25/27</v>
      </c>
    </row>
    <row r="96" spans="1:7" x14ac:dyDescent="0.2">
      <c r="A96" s="5">
        <v>17</v>
      </c>
      <c r="B96" s="5">
        <f>IF(COUNTIFS(Weekly_Local!$U:$U,"2022-23",Weekly_Local!$T:$T,$A96,Weekly_Local!$C:$C,"&lt;&gt;")=0,"",SUMIFS(Weekly_Local!$C:$C,Weekly_Local!$U:$U,"2022-23",Weekly_Local!$T:$T,$A96))</f>
        <v>0</v>
      </c>
      <c r="C96" s="5">
        <f>IF(COUNTIFS(Weekly_Local!$U:$U,"2023-24",Weekly_Local!$T:$T,$A96,Weekly_Local!$C:$C,"&lt;&gt;")=0,"",SUMIFS(Weekly_Local!$C:$C,Weekly_Local!$U:$U,"2023-24",Weekly_Local!$T:$T,$A96))</f>
        <v>1</v>
      </c>
      <c r="D96" s="5">
        <f>IF(COUNTIFS(Weekly_Local!$U:$U,"2024-25",Weekly_Local!$T:$T,$A96,Weekly_Local!$C:$C,"&lt;&gt;")=0,"",SUMIFS(Weekly_Local!$C:$C,Weekly_Local!$U:$U,"2024-25",Weekly_Local!$T:$T,$A96))</f>
        <v>2</v>
      </c>
      <c r="E96" s="5">
        <f>IF(COUNTIFS(Weekly_Local!$U:$U,"2025-26",Weekly_Local!$T:$T,$A96,Weekly_Local!$C:$C,"&lt;&gt;")=0,"",SUMIFS(Weekly_Local!$C:$C,Weekly_Local!$U:$U,"2025-26",Weekly_Local!$T:$T,$A96))</f>
        <v>0</v>
      </c>
      <c r="F96" s="5" t="str">
        <f>IF(COUNTIFS(Weekly_Local!$U:$U,"2026-27",Weekly_Local!$T:$T,$A96,Weekly_Local!$C:$C,"&lt;&gt;")=0,"",SUMIFS(Weekly_Local!$C:$C,Weekly_Local!$U:$U,"2026-27",Weekly_Local!$T:$T,$A96))</f>
        <v/>
      </c>
      <c r="G96" s="5" t="str">
        <f>IF(AND($A96=53,DATE(YEAR(Config!$B$3),1,4)-WEEKDAY(DATE(YEAR(Config!$B$3),1,4))+1+364&gt;=DATE(YEAR(Config!$B$3)+1,1,4)-WEEKDAY(DATE(YEAR(Config!$B$3)+1,1,4))+1),"",TEXT(DATE(YEAR(Config!$B$3)+IF($A96&gt;=36,0,1),1,4)-WEEKDAY(DATE(YEAR(Config!$B$3)+IF($A96&gt;=36,0,1),1,4))+1+7*($A96-1)+1,"m/d/yy")&amp;" – "&amp;TEXT(DATE(YEAR(Config!$B$3)+IF($A96&gt;=36,0,1),1,4)-WEEKDAY(DATE(YEAR(Config!$B$3)+IF($A96&gt;=36,0,1),1,4))+1+7*($A96-1)+7,"m/d/yy"))</f>
        <v>4/26/27 – 5/2/27</v>
      </c>
    </row>
    <row r="97" spans="1:7" x14ac:dyDescent="0.2">
      <c r="A97" s="5">
        <v>18</v>
      </c>
      <c r="B97" s="5">
        <f>IF(COUNTIFS(Weekly_Local!$U:$U,"2022-23",Weekly_Local!$T:$T,$A97,Weekly_Local!$C:$C,"&lt;&gt;")=0,"",SUMIFS(Weekly_Local!$C:$C,Weekly_Local!$U:$U,"2022-23",Weekly_Local!$T:$T,$A97))</f>
        <v>0</v>
      </c>
      <c r="C97" s="5">
        <f>IF(COUNTIFS(Weekly_Local!$U:$U,"2023-24",Weekly_Local!$T:$T,$A97,Weekly_Local!$C:$C,"&lt;&gt;")=0,"",SUMIFS(Weekly_Local!$C:$C,Weekly_Local!$U:$U,"2023-24",Weekly_Local!$T:$T,$A97))</f>
        <v>1</v>
      </c>
      <c r="D97" s="5">
        <f>IF(COUNTIFS(Weekly_Local!$U:$U,"2024-25",Weekly_Local!$T:$T,$A97,Weekly_Local!$C:$C,"&lt;&gt;")=0,"",SUMIFS(Weekly_Local!$C:$C,Weekly_Local!$U:$U,"2024-25",Weekly_Local!$T:$T,$A97))</f>
        <v>0</v>
      </c>
      <c r="E97" s="5">
        <f>IF(COUNTIFS(Weekly_Local!$U:$U,"2025-26",Weekly_Local!$T:$T,$A97,Weekly_Local!$C:$C,"&lt;&gt;")=0,"",SUMIFS(Weekly_Local!$C:$C,Weekly_Local!$U:$U,"2025-26",Weekly_Local!$T:$T,$A97))</f>
        <v>0</v>
      </c>
      <c r="F97" s="5" t="str">
        <f>IF(COUNTIFS(Weekly_Local!$U:$U,"2026-27",Weekly_Local!$T:$T,$A97,Weekly_Local!$C:$C,"&lt;&gt;")=0,"",SUMIFS(Weekly_Local!$C:$C,Weekly_Local!$U:$U,"2026-27",Weekly_Local!$T:$T,$A97))</f>
        <v/>
      </c>
      <c r="G97" s="5" t="str">
        <f>IF(AND($A97=53,DATE(YEAR(Config!$B$3),1,4)-WEEKDAY(DATE(YEAR(Config!$B$3),1,4))+1+364&gt;=DATE(YEAR(Config!$B$3)+1,1,4)-WEEKDAY(DATE(YEAR(Config!$B$3)+1,1,4))+1),"",TEXT(DATE(YEAR(Config!$B$3)+IF($A97&gt;=36,0,1),1,4)-WEEKDAY(DATE(YEAR(Config!$B$3)+IF($A97&gt;=36,0,1),1,4))+1+7*($A97-1)+1,"m/d/yy")&amp;" – "&amp;TEXT(DATE(YEAR(Config!$B$3)+IF($A97&gt;=36,0,1),1,4)-WEEKDAY(DATE(YEAR(Config!$B$3)+IF($A97&gt;=36,0,1),1,4))+1+7*($A97-1)+7,"m/d/yy"))</f>
        <v>5/3/27 – 5/9/27</v>
      </c>
    </row>
    <row r="98" spans="1:7" x14ac:dyDescent="0.2">
      <c r="A98" s="5">
        <v>19</v>
      </c>
      <c r="B98" s="5">
        <f>IF(COUNTIFS(Weekly_Local!$U:$U,"2022-23",Weekly_Local!$T:$T,$A98,Weekly_Local!$C:$C,"&lt;&gt;")=0,"",SUMIFS(Weekly_Local!$C:$C,Weekly_Local!$U:$U,"2022-23",Weekly_Local!$T:$T,$A98))</f>
        <v>0</v>
      </c>
      <c r="C98" s="5">
        <f>IF(COUNTIFS(Weekly_Local!$U:$U,"2023-24",Weekly_Local!$T:$T,$A98,Weekly_Local!$C:$C,"&lt;&gt;")=0,"",SUMIFS(Weekly_Local!$C:$C,Weekly_Local!$U:$U,"2023-24",Weekly_Local!$T:$T,$A98))</f>
        <v>0</v>
      </c>
      <c r="D98" s="5">
        <f>IF(COUNTIFS(Weekly_Local!$U:$U,"2024-25",Weekly_Local!$T:$T,$A98,Weekly_Local!$C:$C,"&lt;&gt;")=0,"",SUMIFS(Weekly_Local!$C:$C,Weekly_Local!$U:$U,"2024-25",Weekly_Local!$T:$T,$A98))</f>
        <v>0</v>
      </c>
      <c r="E98" s="5">
        <f>IF(COUNTIFS(Weekly_Local!$U:$U,"2025-26",Weekly_Local!$T:$T,$A98,Weekly_Local!$C:$C,"&lt;&gt;")=0,"",SUMIFS(Weekly_Local!$C:$C,Weekly_Local!$U:$U,"2025-26",Weekly_Local!$T:$T,$A98))</f>
        <v>0</v>
      </c>
      <c r="F98" s="5" t="str">
        <f>IF(COUNTIFS(Weekly_Local!$U:$U,"2026-27",Weekly_Local!$T:$T,$A98,Weekly_Local!$C:$C,"&lt;&gt;")=0,"",SUMIFS(Weekly_Local!$C:$C,Weekly_Local!$U:$U,"2026-27",Weekly_Local!$T:$T,$A98))</f>
        <v/>
      </c>
      <c r="G98" s="5" t="str">
        <f>IF(AND($A98=53,DATE(YEAR(Config!$B$3),1,4)-WEEKDAY(DATE(YEAR(Config!$B$3),1,4))+1+364&gt;=DATE(YEAR(Config!$B$3)+1,1,4)-WEEKDAY(DATE(YEAR(Config!$B$3)+1,1,4))+1),"",TEXT(DATE(YEAR(Config!$B$3)+IF($A98&gt;=36,0,1),1,4)-WEEKDAY(DATE(YEAR(Config!$B$3)+IF($A98&gt;=36,0,1),1,4))+1+7*($A98-1)+1,"m/d/yy")&amp;" – "&amp;TEXT(DATE(YEAR(Config!$B$3)+IF($A98&gt;=36,0,1),1,4)-WEEKDAY(DATE(YEAR(Config!$B$3)+IF($A98&gt;=36,0,1),1,4))+1+7*($A98-1)+7,"m/d/yy"))</f>
        <v>5/10/27 – 5/16/27</v>
      </c>
    </row>
    <row r="99" spans="1:7" x14ac:dyDescent="0.2">
      <c r="A99" s="5">
        <v>20</v>
      </c>
      <c r="B99" s="5">
        <f>IF(COUNTIFS(Weekly_Local!$U:$U,"2022-23",Weekly_Local!$T:$T,$A99,Weekly_Local!$C:$C,"&lt;&gt;")=0,"",SUMIFS(Weekly_Local!$C:$C,Weekly_Local!$U:$U,"2022-23",Weekly_Local!$T:$T,$A99))</f>
        <v>0</v>
      </c>
      <c r="C99" s="5">
        <f>IF(COUNTIFS(Weekly_Local!$U:$U,"2023-24",Weekly_Local!$T:$T,$A99,Weekly_Local!$C:$C,"&lt;&gt;")=0,"",SUMIFS(Weekly_Local!$C:$C,Weekly_Local!$U:$U,"2023-24",Weekly_Local!$T:$T,$A99))</f>
        <v>1</v>
      </c>
      <c r="D99" s="5">
        <f>IF(COUNTIFS(Weekly_Local!$U:$U,"2024-25",Weekly_Local!$T:$T,$A99,Weekly_Local!$C:$C,"&lt;&gt;")=0,"",SUMIFS(Weekly_Local!$C:$C,Weekly_Local!$U:$U,"2024-25",Weekly_Local!$T:$T,$A99))</f>
        <v>1</v>
      </c>
      <c r="E99" s="5">
        <f>IF(COUNTIFS(Weekly_Local!$U:$U,"2025-26",Weekly_Local!$T:$T,$A99,Weekly_Local!$C:$C,"&lt;&gt;")=0,"",SUMIFS(Weekly_Local!$C:$C,Weekly_Local!$U:$U,"2025-26",Weekly_Local!$T:$T,$A99))</f>
        <v>1</v>
      </c>
      <c r="F99" s="5" t="str">
        <f>IF(COUNTIFS(Weekly_Local!$U:$U,"2026-27",Weekly_Local!$T:$T,$A99,Weekly_Local!$C:$C,"&lt;&gt;")=0,"",SUMIFS(Weekly_Local!$C:$C,Weekly_Local!$U:$U,"2026-27",Weekly_Local!$T:$T,$A99))</f>
        <v/>
      </c>
      <c r="G99" s="5" t="str">
        <f>IF(AND($A99=53,DATE(YEAR(Config!$B$3),1,4)-WEEKDAY(DATE(YEAR(Config!$B$3),1,4))+1+364&gt;=DATE(YEAR(Config!$B$3)+1,1,4)-WEEKDAY(DATE(YEAR(Config!$B$3)+1,1,4))+1),"",TEXT(DATE(YEAR(Config!$B$3)+IF($A99&gt;=36,0,1),1,4)-WEEKDAY(DATE(YEAR(Config!$B$3)+IF($A99&gt;=36,0,1),1,4))+1+7*($A99-1)+1,"m/d/yy")&amp;" – "&amp;TEXT(DATE(YEAR(Config!$B$3)+IF($A99&gt;=36,0,1),1,4)-WEEKDAY(DATE(YEAR(Config!$B$3)+IF($A99&gt;=36,0,1),1,4))+1+7*($A99-1)+7,"m/d/yy"))</f>
        <v>5/17/27 – 5/23/27</v>
      </c>
    </row>
    <row r="100" spans="1:7" x14ac:dyDescent="0.2">
      <c r="A100" s="5">
        <v>21</v>
      </c>
      <c r="B100" s="5">
        <f>IF(COUNTIFS(Weekly_Local!$U:$U,"2022-23",Weekly_Local!$T:$T,$A100,Weekly_Local!$C:$C,"&lt;&gt;")=0,"",SUMIFS(Weekly_Local!$C:$C,Weekly_Local!$U:$U,"2022-23",Weekly_Local!$T:$T,$A100))</f>
        <v>0</v>
      </c>
      <c r="C100" s="5">
        <f>IF(COUNTIFS(Weekly_Local!$U:$U,"2023-24",Weekly_Local!$T:$T,$A100,Weekly_Local!$C:$C,"&lt;&gt;")=0,"",SUMIFS(Weekly_Local!$C:$C,Weekly_Local!$U:$U,"2023-24",Weekly_Local!$T:$T,$A100))</f>
        <v>1</v>
      </c>
      <c r="D100" s="5">
        <f>IF(COUNTIFS(Weekly_Local!$U:$U,"2024-25",Weekly_Local!$T:$T,$A100,Weekly_Local!$C:$C,"&lt;&gt;")=0,"",SUMIFS(Weekly_Local!$C:$C,Weekly_Local!$U:$U,"2024-25",Weekly_Local!$T:$T,$A100))</f>
        <v>1</v>
      </c>
      <c r="E100" s="5">
        <f>IF(COUNTIFS(Weekly_Local!$U:$U,"2025-26",Weekly_Local!$T:$T,$A100,Weekly_Local!$C:$C,"&lt;&gt;")=0,"",SUMIFS(Weekly_Local!$C:$C,Weekly_Local!$U:$U,"2025-26",Weekly_Local!$T:$T,$A100))</f>
        <v>2</v>
      </c>
      <c r="F100" s="5" t="str">
        <f>IF(COUNTIFS(Weekly_Local!$U:$U,"2026-27",Weekly_Local!$T:$T,$A100,Weekly_Local!$C:$C,"&lt;&gt;")=0,"",SUMIFS(Weekly_Local!$C:$C,Weekly_Local!$U:$U,"2026-27",Weekly_Local!$T:$T,$A100))</f>
        <v/>
      </c>
      <c r="G100" s="5" t="str">
        <f>IF(AND($A100=53,DATE(YEAR(Config!$B$3),1,4)-WEEKDAY(DATE(YEAR(Config!$B$3),1,4))+1+364&gt;=DATE(YEAR(Config!$B$3)+1,1,4)-WEEKDAY(DATE(YEAR(Config!$B$3)+1,1,4))+1),"",TEXT(DATE(YEAR(Config!$B$3)+IF($A100&gt;=36,0,1),1,4)-WEEKDAY(DATE(YEAR(Config!$B$3)+IF($A100&gt;=36,0,1),1,4))+1+7*($A100-1)+1,"m/d/yy")&amp;" – "&amp;TEXT(DATE(YEAR(Config!$B$3)+IF($A100&gt;=36,0,1),1,4)-WEEKDAY(DATE(YEAR(Config!$B$3)+IF($A100&gt;=36,0,1),1,4))+1+7*($A100-1)+7,"m/d/yy"))</f>
        <v>5/24/27 – 5/30/27</v>
      </c>
    </row>
    <row r="101" spans="1:7" x14ac:dyDescent="0.2">
      <c r="A101" s="5">
        <v>22</v>
      </c>
      <c r="B101" s="5">
        <f>IF(COUNTIFS(Weekly_Local!$U:$U,"2022-23",Weekly_Local!$T:$T,$A101,Weekly_Local!$C:$C,"&lt;&gt;")=0,"",SUMIFS(Weekly_Local!$C:$C,Weekly_Local!$U:$U,"2022-23",Weekly_Local!$T:$T,$A101))</f>
        <v>0</v>
      </c>
      <c r="C101" s="5">
        <f>IF(COUNTIFS(Weekly_Local!$U:$U,"2023-24",Weekly_Local!$T:$T,$A101,Weekly_Local!$C:$C,"&lt;&gt;")=0,"",SUMIFS(Weekly_Local!$C:$C,Weekly_Local!$U:$U,"2023-24",Weekly_Local!$T:$T,$A101))</f>
        <v>3</v>
      </c>
      <c r="D101" s="5">
        <f>IF(COUNTIFS(Weekly_Local!$U:$U,"2024-25",Weekly_Local!$T:$T,$A101,Weekly_Local!$C:$C,"&lt;&gt;")=0,"",SUMIFS(Weekly_Local!$C:$C,Weekly_Local!$U:$U,"2024-25",Weekly_Local!$T:$T,$A101))</f>
        <v>2</v>
      </c>
      <c r="E101" s="5">
        <f>IF(COUNTIFS(Weekly_Local!$U:$U,"2025-26",Weekly_Local!$T:$T,$A101,Weekly_Local!$C:$C,"&lt;&gt;")=0,"",SUMIFS(Weekly_Local!$C:$C,Weekly_Local!$U:$U,"2025-26",Weekly_Local!$T:$T,$A101))</f>
        <v>0</v>
      </c>
      <c r="F101" s="5" t="str">
        <f>IF(COUNTIFS(Weekly_Local!$U:$U,"2026-27",Weekly_Local!$T:$T,$A101,Weekly_Local!$C:$C,"&lt;&gt;")=0,"",SUMIFS(Weekly_Local!$C:$C,Weekly_Local!$U:$U,"2026-27",Weekly_Local!$T:$T,$A101))</f>
        <v/>
      </c>
      <c r="G101" s="5" t="str">
        <f>IF(AND($A101=53,DATE(YEAR(Config!$B$3),1,4)-WEEKDAY(DATE(YEAR(Config!$B$3),1,4))+1+364&gt;=DATE(YEAR(Config!$B$3)+1,1,4)-WEEKDAY(DATE(YEAR(Config!$B$3)+1,1,4))+1),"",TEXT(DATE(YEAR(Config!$B$3)+IF($A101&gt;=36,0,1),1,4)-WEEKDAY(DATE(YEAR(Config!$B$3)+IF($A101&gt;=36,0,1),1,4))+1+7*($A101-1)+1,"m/d/yy")&amp;" – "&amp;TEXT(DATE(YEAR(Config!$B$3)+IF($A101&gt;=36,0,1),1,4)-WEEKDAY(DATE(YEAR(Config!$B$3)+IF($A101&gt;=36,0,1),1,4))+1+7*($A101-1)+7,"m/d/yy"))</f>
        <v>5/31/27 – 6/6/27</v>
      </c>
    </row>
    <row r="102" spans="1:7" x14ac:dyDescent="0.2">
      <c r="A102" s="5">
        <v>23</v>
      </c>
      <c r="B102" s="5">
        <f>IF(COUNTIFS(Weekly_Local!$U:$U,"2022-23",Weekly_Local!$T:$T,$A102,Weekly_Local!$C:$C,"&lt;&gt;")=0,"",SUMIFS(Weekly_Local!$C:$C,Weekly_Local!$U:$U,"2022-23",Weekly_Local!$T:$T,$A102))</f>
        <v>0</v>
      </c>
      <c r="C102" s="5">
        <f>IF(COUNTIFS(Weekly_Local!$U:$U,"2023-24",Weekly_Local!$T:$T,$A102,Weekly_Local!$C:$C,"&lt;&gt;")=0,"",SUMIFS(Weekly_Local!$C:$C,Weekly_Local!$U:$U,"2023-24",Weekly_Local!$T:$T,$A102))</f>
        <v>3</v>
      </c>
      <c r="D102" s="5">
        <f>IF(COUNTIFS(Weekly_Local!$U:$U,"2024-25",Weekly_Local!$T:$T,$A102,Weekly_Local!$C:$C,"&lt;&gt;")=0,"",SUMIFS(Weekly_Local!$C:$C,Weekly_Local!$U:$U,"2024-25",Weekly_Local!$T:$T,$A102))</f>
        <v>29</v>
      </c>
      <c r="E102" s="5">
        <f>IF(COUNTIFS(Weekly_Local!$U:$U,"2025-26",Weekly_Local!$T:$T,$A102,Weekly_Local!$C:$C,"&lt;&gt;")=0,"",SUMIFS(Weekly_Local!$C:$C,Weekly_Local!$U:$U,"2025-26",Weekly_Local!$T:$T,$A102))</f>
        <v>0</v>
      </c>
      <c r="F102" s="5" t="str">
        <f>IF(COUNTIFS(Weekly_Local!$U:$U,"2026-27",Weekly_Local!$T:$T,$A102,Weekly_Local!$C:$C,"&lt;&gt;")=0,"",SUMIFS(Weekly_Local!$C:$C,Weekly_Local!$U:$U,"2026-27",Weekly_Local!$T:$T,$A102))</f>
        <v/>
      </c>
      <c r="G102" s="5" t="str">
        <f>IF(AND($A102=53,DATE(YEAR(Config!$B$3),1,4)-WEEKDAY(DATE(YEAR(Config!$B$3),1,4))+1+364&gt;=DATE(YEAR(Config!$B$3)+1,1,4)-WEEKDAY(DATE(YEAR(Config!$B$3)+1,1,4))+1),"",TEXT(DATE(YEAR(Config!$B$3)+IF($A102&gt;=36,0,1),1,4)-WEEKDAY(DATE(YEAR(Config!$B$3)+IF($A102&gt;=36,0,1),1,4))+1+7*($A102-1)+1,"m/d/yy")&amp;" – "&amp;TEXT(DATE(YEAR(Config!$B$3)+IF($A102&gt;=36,0,1),1,4)-WEEKDAY(DATE(YEAR(Config!$B$3)+IF($A102&gt;=36,0,1),1,4))+1+7*($A102-1)+7,"m/d/yy"))</f>
        <v>6/7/27 – 6/13/27</v>
      </c>
    </row>
    <row r="103" spans="1:7" x14ac:dyDescent="0.2">
      <c r="A103" s="5">
        <v>24</v>
      </c>
      <c r="B103" s="5">
        <f>IF(COUNTIFS(Weekly_Local!$U:$U,"2022-23",Weekly_Local!$T:$T,$A103,Weekly_Local!$C:$C,"&lt;&gt;")=0,"",SUMIFS(Weekly_Local!$C:$C,Weekly_Local!$U:$U,"2022-23",Weekly_Local!$T:$T,$A103))</f>
        <v>0</v>
      </c>
      <c r="C103" s="5">
        <f>IF(COUNTIFS(Weekly_Local!$U:$U,"2023-24",Weekly_Local!$T:$T,$A103,Weekly_Local!$C:$C,"&lt;&gt;")=0,"",SUMIFS(Weekly_Local!$C:$C,Weekly_Local!$U:$U,"2023-24",Weekly_Local!$T:$T,$A103))</f>
        <v>0</v>
      </c>
      <c r="D103" s="5">
        <f>IF(COUNTIFS(Weekly_Local!$U:$U,"2024-25",Weekly_Local!$T:$T,$A103,Weekly_Local!$C:$C,"&lt;&gt;")=0,"",SUMIFS(Weekly_Local!$C:$C,Weekly_Local!$U:$U,"2024-25",Weekly_Local!$T:$T,$A103))</f>
        <v>26</v>
      </c>
      <c r="E103" s="5">
        <f>IF(COUNTIFS(Weekly_Local!$U:$U,"2025-26",Weekly_Local!$T:$T,$A103,Weekly_Local!$C:$C,"&lt;&gt;")=0,"",SUMIFS(Weekly_Local!$C:$C,Weekly_Local!$U:$U,"2025-26",Weekly_Local!$T:$T,$A103))</f>
        <v>6</v>
      </c>
      <c r="F103" s="5" t="str">
        <f>IF(COUNTIFS(Weekly_Local!$U:$U,"2026-27",Weekly_Local!$T:$T,$A103,Weekly_Local!$C:$C,"&lt;&gt;")=0,"",SUMIFS(Weekly_Local!$C:$C,Weekly_Local!$U:$U,"2026-27",Weekly_Local!$T:$T,$A103))</f>
        <v/>
      </c>
      <c r="G103" s="5" t="str">
        <f>IF(AND($A103=53,DATE(YEAR(Config!$B$3),1,4)-WEEKDAY(DATE(YEAR(Config!$B$3),1,4))+1+364&gt;=DATE(YEAR(Config!$B$3)+1,1,4)-WEEKDAY(DATE(YEAR(Config!$B$3)+1,1,4))+1),"",TEXT(DATE(YEAR(Config!$B$3)+IF($A103&gt;=36,0,1),1,4)-WEEKDAY(DATE(YEAR(Config!$B$3)+IF($A103&gt;=36,0,1),1,4))+1+7*($A103-1)+1,"m/d/yy")&amp;" – "&amp;TEXT(DATE(YEAR(Config!$B$3)+IF($A103&gt;=36,0,1),1,4)-WEEKDAY(DATE(YEAR(Config!$B$3)+IF($A103&gt;=36,0,1),1,4))+1+7*($A103-1)+7,"m/d/yy"))</f>
        <v>6/14/27 – 6/20/27</v>
      </c>
    </row>
    <row r="104" spans="1:7" x14ac:dyDescent="0.2">
      <c r="A104" s="5">
        <v>25</v>
      </c>
      <c r="B104" s="5">
        <f>IF(COUNTIFS(Weekly_Local!$U:$U,"2022-23",Weekly_Local!$T:$T,$A104,Weekly_Local!$C:$C,"&lt;&gt;")=0,"",SUMIFS(Weekly_Local!$C:$C,Weekly_Local!$U:$U,"2022-23",Weekly_Local!$T:$T,$A104))</f>
        <v>0</v>
      </c>
      <c r="C104" s="5">
        <f>IF(COUNTIFS(Weekly_Local!$U:$U,"2023-24",Weekly_Local!$T:$T,$A104,Weekly_Local!$C:$C,"&lt;&gt;")=0,"",SUMIFS(Weekly_Local!$C:$C,Weekly_Local!$U:$U,"2023-24",Weekly_Local!$T:$T,$A104))</f>
        <v>0</v>
      </c>
      <c r="D104" s="5">
        <f>IF(COUNTIFS(Weekly_Local!$U:$U,"2024-25",Weekly_Local!$T:$T,$A104,Weekly_Local!$C:$C,"&lt;&gt;")=0,"",SUMIFS(Weekly_Local!$C:$C,Weekly_Local!$U:$U,"2024-25",Weekly_Local!$T:$T,$A104))</f>
        <v>6</v>
      </c>
      <c r="E104" s="5">
        <f>IF(COUNTIFS(Weekly_Local!$U:$U,"2025-26",Weekly_Local!$T:$T,$A104,Weekly_Local!$C:$C,"&lt;&gt;")=0,"",SUMIFS(Weekly_Local!$C:$C,Weekly_Local!$U:$U,"2025-26",Weekly_Local!$T:$T,$A104))</f>
        <v>0</v>
      </c>
      <c r="F104" s="5" t="str">
        <f>IF(COUNTIFS(Weekly_Local!$U:$U,"2026-27",Weekly_Local!$T:$T,$A104,Weekly_Local!$C:$C,"&lt;&gt;")=0,"",SUMIFS(Weekly_Local!$C:$C,Weekly_Local!$U:$U,"2026-27",Weekly_Local!$T:$T,$A104))</f>
        <v/>
      </c>
      <c r="G104" s="5" t="str">
        <f>IF(AND($A104=53,DATE(YEAR(Config!$B$3),1,4)-WEEKDAY(DATE(YEAR(Config!$B$3),1,4))+1+364&gt;=DATE(YEAR(Config!$B$3)+1,1,4)-WEEKDAY(DATE(YEAR(Config!$B$3)+1,1,4))+1),"",TEXT(DATE(YEAR(Config!$B$3)+IF($A104&gt;=36,0,1),1,4)-WEEKDAY(DATE(YEAR(Config!$B$3)+IF($A104&gt;=36,0,1),1,4))+1+7*($A104-1)+1,"m/d/yy")&amp;" – "&amp;TEXT(DATE(YEAR(Config!$B$3)+IF($A104&gt;=36,0,1),1,4)-WEEKDAY(DATE(YEAR(Config!$B$3)+IF($A104&gt;=36,0,1),1,4))+1+7*($A104-1)+7,"m/d/yy"))</f>
        <v>6/21/27 – 6/27/27</v>
      </c>
    </row>
    <row r="105" spans="1:7" x14ac:dyDescent="0.2">
      <c r="A105" s="5">
        <v>26</v>
      </c>
      <c r="B105" s="5">
        <f>IF(COUNTIFS(Weekly_Local!$U:$U,"2022-23",Weekly_Local!$T:$T,$A105,Weekly_Local!$C:$C,"&lt;&gt;")=0,"",SUMIFS(Weekly_Local!$C:$C,Weekly_Local!$U:$U,"2022-23",Weekly_Local!$T:$T,$A105))</f>
        <v>0</v>
      </c>
      <c r="C105" s="5">
        <f>IF(COUNTIFS(Weekly_Local!$U:$U,"2023-24",Weekly_Local!$T:$T,$A105,Weekly_Local!$C:$C,"&lt;&gt;")=0,"",SUMIFS(Weekly_Local!$C:$C,Weekly_Local!$U:$U,"2023-24",Weekly_Local!$T:$T,$A105))</f>
        <v>0</v>
      </c>
      <c r="D105" s="5">
        <f>IF(COUNTIFS(Weekly_Local!$U:$U,"2024-25",Weekly_Local!$T:$T,$A105,Weekly_Local!$C:$C,"&lt;&gt;")=0,"",SUMIFS(Weekly_Local!$C:$C,Weekly_Local!$U:$U,"2024-25",Weekly_Local!$T:$T,$A105))</f>
        <v>5</v>
      </c>
      <c r="E105" s="5">
        <f>IF(COUNTIFS(Weekly_Local!$U:$U,"2025-26",Weekly_Local!$T:$T,$A105,Weekly_Local!$C:$C,"&lt;&gt;")=0,"",SUMIFS(Weekly_Local!$C:$C,Weekly_Local!$U:$U,"2025-26",Weekly_Local!$T:$T,$A105))</f>
        <v>0</v>
      </c>
      <c r="F105" s="5" t="str">
        <f>IF(COUNTIFS(Weekly_Local!$U:$U,"2026-27",Weekly_Local!$T:$T,$A105,Weekly_Local!$C:$C,"&lt;&gt;")=0,"",SUMIFS(Weekly_Local!$C:$C,Weekly_Local!$U:$U,"2026-27",Weekly_Local!$T:$T,$A105))</f>
        <v/>
      </c>
      <c r="G105" s="5" t="str">
        <f>IF(AND($A105=53,DATE(YEAR(Config!$B$3),1,4)-WEEKDAY(DATE(YEAR(Config!$B$3),1,4))+1+364&gt;=DATE(YEAR(Config!$B$3)+1,1,4)-WEEKDAY(DATE(YEAR(Config!$B$3)+1,1,4))+1),"",TEXT(DATE(YEAR(Config!$B$3)+IF($A105&gt;=36,0,1),1,4)-WEEKDAY(DATE(YEAR(Config!$B$3)+IF($A105&gt;=36,0,1),1,4))+1+7*($A105-1)+1,"m/d/yy")&amp;" – "&amp;TEXT(DATE(YEAR(Config!$B$3)+IF($A105&gt;=36,0,1),1,4)-WEEKDAY(DATE(YEAR(Config!$B$3)+IF($A105&gt;=36,0,1),1,4))+1+7*($A105-1)+7,"m/d/yy"))</f>
        <v>6/28/27 – 7/4/27</v>
      </c>
    </row>
    <row r="106" spans="1:7" x14ac:dyDescent="0.2">
      <c r="A106" s="5">
        <v>27</v>
      </c>
      <c r="B106" s="5">
        <f>IF(COUNTIFS(Weekly_Local!$U:$U,"2022-23",Weekly_Local!$T:$T,$A106,Weekly_Local!$C:$C,"&lt;&gt;")=0,"",SUMIFS(Weekly_Local!$C:$C,Weekly_Local!$U:$U,"2022-23",Weekly_Local!$T:$T,$A106))</f>
        <v>0</v>
      </c>
      <c r="C106" s="5">
        <f>IF(COUNTIFS(Weekly_Local!$U:$U,"2023-24",Weekly_Local!$T:$T,$A106,Weekly_Local!$C:$C,"&lt;&gt;")=0,"",SUMIFS(Weekly_Local!$C:$C,Weekly_Local!$U:$U,"2023-24",Weekly_Local!$T:$T,$A106))</f>
        <v>0</v>
      </c>
      <c r="D106" s="5">
        <f>IF(COUNTIFS(Weekly_Local!$U:$U,"2024-25",Weekly_Local!$T:$T,$A106,Weekly_Local!$C:$C,"&lt;&gt;")=0,"",SUMIFS(Weekly_Local!$C:$C,Weekly_Local!$U:$U,"2024-25",Weekly_Local!$T:$T,$A106))</f>
        <v>0</v>
      </c>
      <c r="E106" s="5">
        <f>IF(COUNTIFS(Weekly_Local!$U:$U,"2025-26",Weekly_Local!$T:$T,$A106,Weekly_Local!$C:$C,"&lt;&gt;")=0,"",SUMIFS(Weekly_Local!$C:$C,Weekly_Local!$U:$U,"2025-26",Weekly_Local!$T:$T,$A106))</f>
        <v>0</v>
      </c>
      <c r="F106" s="5" t="str">
        <f>IF(COUNTIFS(Weekly_Local!$U:$U,"2026-27",Weekly_Local!$T:$T,$A106,Weekly_Local!$C:$C,"&lt;&gt;")=0,"",SUMIFS(Weekly_Local!$C:$C,Weekly_Local!$U:$U,"2026-27",Weekly_Local!$T:$T,$A106))</f>
        <v/>
      </c>
      <c r="G106" s="5" t="str">
        <f>IF(AND($A106=53,DATE(YEAR(Config!$B$3),1,4)-WEEKDAY(DATE(YEAR(Config!$B$3),1,4))+1+364&gt;=DATE(YEAR(Config!$B$3)+1,1,4)-WEEKDAY(DATE(YEAR(Config!$B$3)+1,1,4))+1),"",TEXT(DATE(YEAR(Config!$B$3)+IF($A106&gt;=36,0,1),1,4)-WEEKDAY(DATE(YEAR(Config!$B$3)+IF($A106&gt;=36,0,1),1,4))+1+7*($A106-1)+1,"m/d/yy")&amp;" – "&amp;TEXT(DATE(YEAR(Config!$B$3)+IF($A106&gt;=36,0,1),1,4)-WEEKDAY(DATE(YEAR(Config!$B$3)+IF($A106&gt;=36,0,1),1,4))+1+7*($A106-1)+7,"m/d/yy"))</f>
        <v>7/5/27 – 7/11/27</v>
      </c>
    </row>
    <row r="107" spans="1:7" x14ac:dyDescent="0.2">
      <c r="A107" s="5">
        <v>28</v>
      </c>
      <c r="B107" s="5">
        <f>IF(COUNTIFS(Weekly_Local!$U:$U,"2022-23",Weekly_Local!$T:$T,$A107,Weekly_Local!$C:$C,"&lt;&gt;")=0,"",SUMIFS(Weekly_Local!$C:$C,Weekly_Local!$U:$U,"2022-23",Weekly_Local!$T:$T,$A107))</f>
        <v>0</v>
      </c>
      <c r="C107" s="5">
        <f>IF(COUNTIFS(Weekly_Local!$U:$U,"2023-24",Weekly_Local!$T:$T,$A107,Weekly_Local!$C:$C,"&lt;&gt;")=0,"",SUMIFS(Weekly_Local!$C:$C,Weekly_Local!$U:$U,"2023-24",Weekly_Local!$T:$T,$A107))</f>
        <v>1</v>
      </c>
      <c r="D107" s="5">
        <f>IF(COUNTIFS(Weekly_Local!$U:$U,"2024-25",Weekly_Local!$T:$T,$A107,Weekly_Local!$C:$C,"&lt;&gt;")=0,"",SUMIFS(Weekly_Local!$C:$C,Weekly_Local!$U:$U,"2024-25",Weekly_Local!$T:$T,$A107))</f>
        <v>0</v>
      </c>
      <c r="E107" s="5">
        <f>IF(COUNTIFS(Weekly_Local!$U:$U,"2025-26",Weekly_Local!$T:$T,$A107,Weekly_Local!$C:$C,"&lt;&gt;")=0,"",SUMIFS(Weekly_Local!$C:$C,Weekly_Local!$U:$U,"2025-26",Weekly_Local!$T:$T,$A107))</f>
        <v>0</v>
      </c>
      <c r="F107" s="5" t="str">
        <f>IF(COUNTIFS(Weekly_Local!$U:$U,"2026-27",Weekly_Local!$T:$T,$A107,Weekly_Local!$C:$C,"&lt;&gt;")=0,"",SUMIFS(Weekly_Local!$C:$C,Weekly_Local!$U:$U,"2026-27",Weekly_Local!$T:$T,$A107))</f>
        <v/>
      </c>
      <c r="G107" s="5" t="str">
        <f>IF(AND($A107=53,DATE(YEAR(Config!$B$3),1,4)-WEEKDAY(DATE(YEAR(Config!$B$3),1,4))+1+364&gt;=DATE(YEAR(Config!$B$3)+1,1,4)-WEEKDAY(DATE(YEAR(Config!$B$3)+1,1,4))+1),"",TEXT(DATE(YEAR(Config!$B$3)+IF($A107&gt;=36,0,1),1,4)-WEEKDAY(DATE(YEAR(Config!$B$3)+IF($A107&gt;=36,0,1),1,4))+1+7*($A107-1)+1,"m/d/yy")&amp;" – "&amp;TEXT(DATE(YEAR(Config!$B$3)+IF($A107&gt;=36,0,1),1,4)-WEEKDAY(DATE(YEAR(Config!$B$3)+IF($A107&gt;=36,0,1),1,4))+1+7*($A107-1)+7,"m/d/yy"))</f>
        <v>7/12/27 – 7/18/27</v>
      </c>
    </row>
    <row r="108" spans="1:7" x14ac:dyDescent="0.2">
      <c r="A108" s="5">
        <v>29</v>
      </c>
      <c r="B108" s="5">
        <f>IF(COUNTIFS(Weekly_Local!$U:$U,"2022-23",Weekly_Local!$T:$T,$A108,Weekly_Local!$C:$C,"&lt;&gt;")=0,"",SUMIFS(Weekly_Local!$C:$C,Weekly_Local!$U:$U,"2022-23",Weekly_Local!$T:$T,$A108))</f>
        <v>0</v>
      </c>
      <c r="C108" s="5">
        <f>IF(COUNTIFS(Weekly_Local!$U:$U,"2023-24",Weekly_Local!$T:$T,$A108,Weekly_Local!$C:$C,"&lt;&gt;")=0,"",SUMIFS(Weekly_Local!$C:$C,Weekly_Local!$U:$U,"2023-24",Weekly_Local!$T:$T,$A108))</f>
        <v>0</v>
      </c>
      <c r="D108" s="5">
        <f>IF(COUNTIFS(Weekly_Local!$U:$U,"2024-25",Weekly_Local!$T:$T,$A108,Weekly_Local!$C:$C,"&lt;&gt;")=0,"",SUMIFS(Weekly_Local!$C:$C,Weekly_Local!$U:$U,"2024-25",Weekly_Local!$T:$T,$A108))</f>
        <v>0</v>
      </c>
      <c r="E108" s="5">
        <f>IF(COUNTIFS(Weekly_Local!$U:$U,"2025-26",Weekly_Local!$T:$T,$A108,Weekly_Local!$C:$C,"&lt;&gt;")=0,"",SUMIFS(Weekly_Local!$C:$C,Weekly_Local!$U:$U,"2025-26",Weekly_Local!$T:$T,$A108))</f>
        <v>0</v>
      </c>
      <c r="F108" s="5" t="str">
        <f>IF(COUNTIFS(Weekly_Local!$U:$U,"2026-27",Weekly_Local!$T:$T,$A108,Weekly_Local!$C:$C,"&lt;&gt;")=0,"",SUMIFS(Weekly_Local!$C:$C,Weekly_Local!$U:$U,"2026-27",Weekly_Local!$T:$T,$A108))</f>
        <v/>
      </c>
      <c r="G108" s="5" t="str">
        <f>IF(AND($A108=53,DATE(YEAR(Config!$B$3),1,4)-WEEKDAY(DATE(YEAR(Config!$B$3),1,4))+1+364&gt;=DATE(YEAR(Config!$B$3)+1,1,4)-WEEKDAY(DATE(YEAR(Config!$B$3)+1,1,4))+1),"",TEXT(DATE(YEAR(Config!$B$3)+IF($A108&gt;=36,0,1),1,4)-WEEKDAY(DATE(YEAR(Config!$B$3)+IF($A108&gt;=36,0,1),1,4))+1+7*($A108-1)+1,"m/d/yy")&amp;" – "&amp;TEXT(DATE(YEAR(Config!$B$3)+IF($A108&gt;=36,0,1),1,4)-WEEKDAY(DATE(YEAR(Config!$B$3)+IF($A108&gt;=36,0,1),1,4))+1+7*($A108-1)+7,"m/d/yy"))</f>
        <v>7/19/27 – 7/25/27</v>
      </c>
    </row>
    <row r="109" spans="1:7" x14ac:dyDescent="0.2">
      <c r="A109" s="5">
        <v>30</v>
      </c>
      <c r="B109" s="5">
        <f>IF(COUNTIFS(Weekly_Local!$U:$U,"2022-23",Weekly_Local!$T:$T,$A109,Weekly_Local!$C:$C,"&lt;&gt;")=0,"",SUMIFS(Weekly_Local!$C:$C,Weekly_Local!$U:$U,"2022-23",Weekly_Local!$T:$T,$A109))</f>
        <v>0</v>
      </c>
      <c r="C109" s="5">
        <f>IF(COUNTIFS(Weekly_Local!$U:$U,"2023-24",Weekly_Local!$T:$T,$A109,Weekly_Local!$C:$C,"&lt;&gt;")=0,"",SUMIFS(Weekly_Local!$C:$C,Weekly_Local!$U:$U,"2023-24",Weekly_Local!$T:$T,$A109))</f>
        <v>0</v>
      </c>
      <c r="D109" s="5">
        <f>IF(COUNTIFS(Weekly_Local!$U:$U,"2024-25",Weekly_Local!$T:$T,$A109,Weekly_Local!$C:$C,"&lt;&gt;")=0,"",SUMIFS(Weekly_Local!$C:$C,Weekly_Local!$U:$U,"2024-25",Weekly_Local!$T:$T,$A109))</f>
        <v>0</v>
      </c>
      <c r="E109" s="5">
        <f>IF(COUNTIFS(Weekly_Local!$U:$U,"2025-26",Weekly_Local!$T:$T,$A109,Weekly_Local!$C:$C,"&lt;&gt;")=0,"",SUMIFS(Weekly_Local!$C:$C,Weekly_Local!$U:$U,"2025-26",Weekly_Local!$T:$T,$A109))</f>
        <v>0</v>
      </c>
      <c r="F109" s="5" t="str">
        <f>IF(COUNTIFS(Weekly_Local!$U:$U,"2026-27",Weekly_Local!$T:$T,$A109,Weekly_Local!$C:$C,"&lt;&gt;")=0,"",SUMIFS(Weekly_Local!$C:$C,Weekly_Local!$U:$U,"2026-27",Weekly_Local!$T:$T,$A109))</f>
        <v/>
      </c>
      <c r="G109" s="5" t="str">
        <f>IF(AND($A109=53,DATE(YEAR(Config!$B$3),1,4)-WEEKDAY(DATE(YEAR(Config!$B$3),1,4))+1+364&gt;=DATE(YEAR(Config!$B$3)+1,1,4)-WEEKDAY(DATE(YEAR(Config!$B$3)+1,1,4))+1),"",TEXT(DATE(YEAR(Config!$B$3)+IF($A109&gt;=36,0,1),1,4)-WEEKDAY(DATE(YEAR(Config!$B$3)+IF($A109&gt;=36,0,1),1,4))+1+7*($A109-1)+1,"m/d/yy")&amp;" – "&amp;TEXT(DATE(YEAR(Config!$B$3)+IF($A109&gt;=36,0,1),1,4)-WEEKDAY(DATE(YEAR(Config!$B$3)+IF($A109&gt;=36,0,1),1,4))+1+7*($A109-1)+7,"m/d/yy"))</f>
        <v>7/26/27 – 8/1/27</v>
      </c>
    </row>
    <row r="110" spans="1:7" x14ac:dyDescent="0.2">
      <c r="A110" s="5">
        <v>31</v>
      </c>
      <c r="B110" s="5">
        <f>IF(COUNTIFS(Weekly_Local!$U:$U,"2022-23",Weekly_Local!$T:$T,$A110,Weekly_Local!$C:$C,"&lt;&gt;")=0,"",SUMIFS(Weekly_Local!$C:$C,Weekly_Local!$U:$U,"2022-23",Weekly_Local!$T:$T,$A110))</f>
        <v>0</v>
      </c>
      <c r="C110" s="5">
        <f>IF(COUNTIFS(Weekly_Local!$U:$U,"2023-24",Weekly_Local!$T:$T,$A110,Weekly_Local!$C:$C,"&lt;&gt;")=0,"",SUMIFS(Weekly_Local!$C:$C,Weekly_Local!$U:$U,"2023-24",Weekly_Local!$T:$T,$A110))</f>
        <v>0</v>
      </c>
      <c r="D110" s="5">
        <f>IF(COUNTIFS(Weekly_Local!$U:$U,"2024-25",Weekly_Local!$T:$T,$A110,Weekly_Local!$C:$C,"&lt;&gt;")=0,"",SUMIFS(Weekly_Local!$C:$C,Weekly_Local!$U:$U,"2024-25",Weekly_Local!$T:$T,$A110))</f>
        <v>0</v>
      </c>
      <c r="E110" s="5">
        <f>IF(COUNTIFS(Weekly_Local!$U:$U,"2025-26",Weekly_Local!$T:$T,$A110,Weekly_Local!$C:$C,"&lt;&gt;")=0,"",SUMIFS(Weekly_Local!$C:$C,Weekly_Local!$U:$U,"2025-26",Weekly_Local!$T:$T,$A110))</f>
        <v>0</v>
      </c>
      <c r="F110" s="5" t="str">
        <f>IF(COUNTIFS(Weekly_Local!$U:$U,"2026-27",Weekly_Local!$T:$T,$A110,Weekly_Local!$C:$C,"&lt;&gt;")=0,"",SUMIFS(Weekly_Local!$C:$C,Weekly_Local!$U:$U,"2026-27",Weekly_Local!$T:$T,$A110))</f>
        <v/>
      </c>
      <c r="G110" s="5" t="str">
        <f>IF(AND($A110=53,DATE(YEAR(Config!$B$3),1,4)-WEEKDAY(DATE(YEAR(Config!$B$3),1,4))+1+364&gt;=DATE(YEAR(Config!$B$3)+1,1,4)-WEEKDAY(DATE(YEAR(Config!$B$3)+1,1,4))+1),"",TEXT(DATE(YEAR(Config!$B$3)+IF($A110&gt;=36,0,1),1,4)-WEEKDAY(DATE(YEAR(Config!$B$3)+IF($A110&gt;=36,0,1),1,4))+1+7*($A110-1)+1,"m/d/yy")&amp;" – "&amp;TEXT(DATE(YEAR(Config!$B$3)+IF($A110&gt;=36,0,1),1,4)-WEEKDAY(DATE(YEAR(Config!$B$3)+IF($A110&gt;=36,0,1),1,4))+1+7*($A110-1)+7,"m/d/yy"))</f>
        <v>8/2/27 – 8/8/27</v>
      </c>
    </row>
    <row r="111" spans="1:7" x14ac:dyDescent="0.2">
      <c r="A111" s="5">
        <v>32</v>
      </c>
      <c r="B111" s="5">
        <f>IF(COUNTIFS(Weekly_Local!$U:$U,"2022-23",Weekly_Local!$T:$T,$A111,Weekly_Local!$C:$C,"&lt;&gt;")=0,"",SUMIFS(Weekly_Local!$C:$C,Weekly_Local!$U:$U,"2022-23",Weekly_Local!$T:$T,$A111))</f>
        <v>0</v>
      </c>
      <c r="C111" s="5">
        <f>IF(COUNTIFS(Weekly_Local!$U:$U,"2023-24",Weekly_Local!$T:$T,$A111,Weekly_Local!$C:$C,"&lt;&gt;")=0,"",SUMIFS(Weekly_Local!$C:$C,Weekly_Local!$U:$U,"2023-24",Weekly_Local!$T:$T,$A111))</f>
        <v>0</v>
      </c>
      <c r="D111" s="5">
        <f>IF(COUNTIFS(Weekly_Local!$U:$U,"2024-25",Weekly_Local!$T:$T,$A111,Weekly_Local!$C:$C,"&lt;&gt;")=0,"",SUMIFS(Weekly_Local!$C:$C,Weekly_Local!$U:$U,"2024-25",Weekly_Local!$T:$T,$A111))</f>
        <v>1</v>
      </c>
      <c r="E111" s="5">
        <f>IF(COUNTIFS(Weekly_Local!$U:$U,"2025-26",Weekly_Local!$T:$T,$A111,Weekly_Local!$C:$C,"&lt;&gt;")=0,"",SUMIFS(Weekly_Local!$C:$C,Weekly_Local!$U:$U,"2025-26",Weekly_Local!$T:$T,$A111))</f>
        <v>0</v>
      </c>
      <c r="F111" s="5" t="str">
        <f>IF(COUNTIFS(Weekly_Local!$U:$U,"2026-27",Weekly_Local!$T:$T,$A111,Weekly_Local!$C:$C,"&lt;&gt;")=0,"",SUMIFS(Weekly_Local!$C:$C,Weekly_Local!$U:$U,"2026-27",Weekly_Local!$T:$T,$A111))</f>
        <v/>
      </c>
      <c r="G111" s="5" t="str">
        <f>IF(AND($A111=53,DATE(YEAR(Config!$B$3),1,4)-WEEKDAY(DATE(YEAR(Config!$B$3),1,4))+1+364&gt;=DATE(YEAR(Config!$B$3)+1,1,4)-WEEKDAY(DATE(YEAR(Config!$B$3)+1,1,4))+1),"",TEXT(DATE(YEAR(Config!$B$3)+IF($A111&gt;=36,0,1),1,4)-WEEKDAY(DATE(YEAR(Config!$B$3)+IF($A111&gt;=36,0,1),1,4))+1+7*($A111-1)+1,"m/d/yy")&amp;" – "&amp;TEXT(DATE(YEAR(Config!$B$3)+IF($A111&gt;=36,0,1),1,4)-WEEKDAY(DATE(YEAR(Config!$B$3)+IF($A111&gt;=36,0,1),1,4))+1+7*($A111-1)+7,"m/d/yy"))</f>
        <v>8/9/27 – 8/15/27</v>
      </c>
    </row>
    <row r="112" spans="1:7" x14ac:dyDescent="0.2">
      <c r="A112" s="5">
        <v>33</v>
      </c>
      <c r="B112" s="5">
        <f>IF(COUNTIFS(Weekly_Local!$U:$U,"2022-23",Weekly_Local!$T:$T,$A112,Weekly_Local!$C:$C,"&lt;&gt;")=0,"",SUMIFS(Weekly_Local!$C:$C,Weekly_Local!$U:$U,"2022-23",Weekly_Local!$T:$T,$A112))</f>
        <v>0</v>
      </c>
      <c r="C112" s="5">
        <f>IF(COUNTIFS(Weekly_Local!$U:$U,"2023-24",Weekly_Local!$T:$T,$A112,Weekly_Local!$C:$C,"&lt;&gt;")=0,"",SUMIFS(Weekly_Local!$C:$C,Weekly_Local!$U:$U,"2023-24",Weekly_Local!$T:$T,$A112))</f>
        <v>0</v>
      </c>
      <c r="D112" s="5">
        <f>IF(COUNTIFS(Weekly_Local!$U:$U,"2024-25",Weekly_Local!$T:$T,$A112,Weekly_Local!$C:$C,"&lt;&gt;")=0,"",SUMIFS(Weekly_Local!$C:$C,Weekly_Local!$U:$U,"2024-25",Weekly_Local!$T:$T,$A112))</f>
        <v>0</v>
      </c>
      <c r="E112" s="5">
        <f>IF(COUNTIFS(Weekly_Local!$U:$U,"2025-26",Weekly_Local!$T:$T,$A112,Weekly_Local!$C:$C,"&lt;&gt;")=0,"",SUMIFS(Weekly_Local!$C:$C,Weekly_Local!$U:$U,"2025-26",Weekly_Local!$T:$T,$A112))</f>
        <v>0</v>
      </c>
      <c r="F112" s="5" t="str">
        <f>IF(COUNTIFS(Weekly_Local!$U:$U,"2026-27",Weekly_Local!$T:$T,$A112,Weekly_Local!$C:$C,"&lt;&gt;")=0,"",SUMIFS(Weekly_Local!$C:$C,Weekly_Local!$U:$U,"2026-27",Weekly_Local!$T:$T,$A112))</f>
        <v/>
      </c>
      <c r="G112" s="5" t="str">
        <f>IF(AND($A112=53,DATE(YEAR(Config!$B$3),1,4)-WEEKDAY(DATE(YEAR(Config!$B$3),1,4))+1+364&gt;=DATE(YEAR(Config!$B$3)+1,1,4)-WEEKDAY(DATE(YEAR(Config!$B$3)+1,1,4))+1),"",TEXT(DATE(YEAR(Config!$B$3)+IF($A112&gt;=36,0,1),1,4)-WEEKDAY(DATE(YEAR(Config!$B$3)+IF($A112&gt;=36,0,1),1,4))+1+7*($A112-1)+1,"m/d/yy")&amp;" – "&amp;TEXT(DATE(YEAR(Config!$B$3)+IF($A112&gt;=36,0,1),1,4)-WEEKDAY(DATE(YEAR(Config!$B$3)+IF($A112&gt;=36,0,1),1,4))+1+7*($A112-1)+7,"m/d/yy"))</f>
        <v>8/16/27 – 8/22/27</v>
      </c>
    </row>
    <row r="113" spans="1:7" x14ac:dyDescent="0.2">
      <c r="A113" s="5">
        <v>34</v>
      </c>
      <c r="B113" s="5">
        <f>IF(COUNTIFS(Weekly_Local!$U:$U,"2022-23",Weekly_Local!$T:$T,$A113,Weekly_Local!$C:$C,"&lt;&gt;")=0,"",SUMIFS(Weekly_Local!$C:$C,Weekly_Local!$U:$U,"2022-23",Weekly_Local!$T:$T,$A113))</f>
        <v>0</v>
      </c>
      <c r="C113" s="5">
        <f>IF(COUNTIFS(Weekly_Local!$U:$U,"2023-24",Weekly_Local!$T:$T,$A113,Weekly_Local!$C:$C,"&lt;&gt;")=0,"",SUMIFS(Weekly_Local!$C:$C,Weekly_Local!$U:$U,"2023-24",Weekly_Local!$T:$T,$A113))</f>
        <v>0</v>
      </c>
      <c r="D113" s="5">
        <f>IF(COUNTIFS(Weekly_Local!$U:$U,"2024-25",Weekly_Local!$T:$T,$A113,Weekly_Local!$C:$C,"&lt;&gt;")=0,"",SUMIFS(Weekly_Local!$C:$C,Weekly_Local!$U:$U,"2024-25",Weekly_Local!$T:$T,$A113))</f>
        <v>0</v>
      </c>
      <c r="E113" s="5">
        <f>IF(COUNTIFS(Weekly_Local!$U:$U,"2025-26",Weekly_Local!$T:$T,$A113,Weekly_Local!$C:$C,"&lt;&gt;")=0,"",SUMIFS(Weekly_Local!$C:$C,Weekly_Local!$U:$U,"2025-26",Weekly_Local!$T:$T,$A113))</f>
        <v>1</v>
      </c>
      <c r="F113" s="5" t="str">
        <f>IF(COUNTIFS(Weekly_Local!$U:$U,"2026-27",Weekly_Local!$T:$T,$A113,Weekly_Local!$C:$C,"&lt;&gt;")=0,"",SUMIFS(Weekly_Local!$C:$C,Weekly_Local!$U:$U,"2026-27",Weekly_Local!$T:$T,$A113))</f>
        <v/>
      </c>
      <c r="G113" s="5" t="str">
        <f>IF(AND($A113=53,DATE(YEAR(Config!$B$3),1,4)-WEEKDAY(DATE(YEAR(Config!$B$3),1,4))+1+364&gt;=DATE(YEAR(Config!$B$3)+1,1,4)-WEEKDAY(DATE(YEAR(Config!$B$3)+1,1,4))+1),"",TEXT(DATE(YEAR(Config!$B$3)+IF($A113&gt;=36,0,1),1,4)-WEEKDAY(DATE(YEAR(Config!$B$3)+IF($A113&gt;=36,0,1),1,4))+1+7*($A113-1)+1,"m/d/yy")&amp;" – "&amp;TEXT(DATE(YEAR(Config!$B$3)+IF($A113&gt;=36,0,1),1,4)-WEEKDAY(DATE(YEAR(Config!$B$3)+IF($A113&gt;=36,0,1),1,4))+1+7*($A113-1)+7,"m/d/yy"))</f>
        <v>8/23/27 – 8/29/27</v>
      </c>
    </row>
    <row r="114" spans="1:7" x14ac:dyDescent="0.2">
      <c r="A114" s="5">
        <v>35</v>
      </c>
      <c r="B114" s="5">
        <f>IF(COUNTIFS(Weekly_Local!$U:$U,"2022-23",Weekly_Local!$T:$T,$A114,Weekly_Local!$C:$C,"&lt;&gt;")=0,"",SUMIFS(Weekly_Local!$C:$C,Weekly_Local!$U:$U,"2022-23",Weekly_Local!$T:$T,$A114))</f>
        <v>0</v>
      </c>
      <c r="C114" s="5">
        <f>IF(COUNTIFS(Weekly_Local!$U:$U,"2023-24",Weekly_Local!$T:$T,$A114,Weekly_Local!$C:$C,"&lt;&gt;")=0,"",SUMIFS(Weekly_Local!$C:$C,Weekly_Local!$U:$U,"2023-24",Weekly_Local!$T:$T,$A114))</f>
        <v>0</v>
      </c>
      <c r="D114" s="5">
        <f>IF(COUNTIFS(Weekly_Local!$U:$U,"2024-25",Weekly_Local!$T:$T,$A114,Weekly_Local!$C:$C,"&lt;&gt;")=0,"",SUMIFS(Weekly_Local!$C:$C,Weekly_Local!$U:$U,"2024-25",Weekly_Local!$T:$T,$A114))</f>
        <v>0</v>
      </c>
      <c r="E114" s="5">
        <f>IF(COUNTIFS(Weekly_Local!$U:$U,"2025-26",Weekly_Local!$T:$T,$A114,Weekly_Local!$C:$C,"&lt;&gt;")=0,"",SUMIFS(Weekly_Local!$C:$C,Weekly_Local!$U:$U,"2025-26",Weekly_Local!$T:$T,$A114))</f>
        <v>0</v>
      </c>
      <c r="F114" s="5" t="str">
        <f>IF(COUNTIFS(Weekly_Local!$U:$U,"2026-27",Weekly_Local!$T:$T,$A114,Weekly_Local!$C:$C,"&lt;&gt;")=0,"",SUMIFS(Weekly_Local!$C:$C,Weekly_Local!$U:$U,"2026-27",Weekly_Local!$T:$T,$A114))</f>
        <v/>
      </c>
      <c r="G114" s="5" t="str">
        <f>IF(AND($A114=53,DATE(YEAR(Config!$B$3),1,4)-WEEKDAY(DATE(YEAR(Config!$B$3),1,4))+1+364&gt;=DATE(YEAR(Config!$B$3)+1,1,4)-WEEKDAY(DATE(YEAR(Config!$B$3)+1,1,4))+1),"",TEXT(DATE(YEAR(Config!$B$3)+IF($A114&gt;=36,0,1),1,4)-WEEKDAY(DATE(YEAR(Config!$B$3)+IF($A114&gt;=36,0,1),1,4))+1+7*($A114-1)+1,"m/d/yy")&amp;" – "&amp;TEXT(DATE(YEAR(Config!$B$3)+IF($A114&gt;=36,0,1),1,4)-WEEKDAY(DATE(YEAR(Config!$B$3)+IF($A114&gt;=36,0,1),1,4))+1+7*($A114-1)+7,"m/d/yy"))</f>
        <v>8/30/27 – 9/5/27</v>
      </c>
    </row>
    <row r="117" spans="1:7" x14ac:dyDescent="0.2">
      <c r="A117" s="13" t="s">
        <v>80</v>
      </c>
    </row>
    <row r="118" spans="1:7" ht="31.5" customHeight="1" x14ac:dyDescent="0.2">
      <c r="A118" s="4" t="s">
        <v>57</v>
      </c>
      <c r="B118" s="4" t="s">
        <v>74</v>
      </c>
      <c r="C118" s="4" t="s">
        <v>75</v>
      </c>
      <c r="D118" s="4" t="s">
        <v>76</v>
      </c>
      <c r="E118" s="4" t="s">
        <v>77</v>
      </c>
      <c r="F118" s="4" t="s">
        <v>23</v>
      </c>
      <c r="G118" s="4" t="s">
        <v>78</v>
      </c>
    </row>
    <row r="119" spans="1:7" x14ac:dyDescent="0.2">
      <c r="A119" s="5">
        <v>36</v>
      </c>
      <c r="B119" s="5" t="str">
        <f>IF(COUNTIFS(Weekly_Local!$U:$U,"2022-23",Weekly_Local!$T:$T,$A119,Weekly_Local!$D:$D,"&lt;&gt;")=0,"",SUMIFS(Weekly_Local!$D:$D,Weekly_Local!$U:$U,"2022-23",Weekly_Local!$T:$T,$A119))</f>
        <v/>
      </c>
      <c r="C119" s="5">
        <f>IF(COUNTIFS(Weekly_Local!$U:$U,"2023-24",Weekly_Local!$T:$T,$A119,Weekly_Local!$D:$D,"&lt;&gt;")=0,"",SUMIFS(Weekly_Local!$D:$D,Weekly_Local!$U:$U,"2023-24",Weekly_Local!$T:$T,$A119))</f>
        <v>0</v>
      </c>
      <c r="D119" s="5">
        <f>IF(COUNTIFS(Weekly_Local!$U:$U,"2024-25",Weekly_Local!$T:$T,$A119,Weekly_Local!$D:$D,"&lt;&gt;")=0,"",SUMIFS(Weekly_Local!$D:$D,Weekly_Local!$U:$U,"2024-25",Weekly_Local!$T:$T,$A119))</f>
        <v>0</v>
      </c>
      <c r="E119" s="5">
        <f>IF(COUNTIFS(Weekly_Local!$U:$U,"2025-26",Weekly_Local!$T:$T,$A119,Weekly_Local!$D:$D,"&lt;&gt;")=0,"",SUMIFS(Weekly_Local!$D:$D,Weekly_Local!$U:$U,"2025-26",Weekly_Local!$T:$T,$A119))</f>
        <v>0</v>
      </c>
      <c r="F119" s="5">
        <v>0</v>
      </c>
      <c r="G119" s="5" t="str">
        <f>IF(AND($A119=53,DATE(YEAR(Config!$B$3),1,4)-WEEKDAY(DATE(YEAR(Config!$B$3),1,4))+1+364&gt;=DATE(YEAR(Config!$B$3)+1,1,4)-WEEKDAY(DATE(YEAR(Config!$B$3)+1,1,4))+1),"",TEXT(DATE(YEAR(Config!$B$3)+IF($A119&gt;=36,0,1),1,4)-WEEKDAY(DATE(YEAR(Config!$B$3)+IF($A119&gt;=36,0,1),1,4))+1+7*($A119-1)+1,"m/d/yy")&amp;" – "&amp;TEXT(DATE(YEAR(Config!$B$3)+IF($A119&gt;=36,0,1),1,4)-WEEKDAY(DATE(YEAR(Config!$B$3)+IF($A119&gt;=36,0,1),1,4))+1+7*($A119-1)+7,"m/d/yy"))</f>
        <v>9/7/26 – 9/13/26</v>
      </c>
    </row>
    <row r="120" spans="1:7" x14ac:dyDescent="0.2">
      <c r="A120" s="5">
        <v>37</v>
      </c>
      <c r="B120" s="5" t="str">
        <f>IF(COUNTIFS(Weekly_Local!$U:$U,"2022-23",Weekly_Local!$T:$T,$A120,Weekly_Local!$D:$D,"&lt;&gt;")=0,"",SUMIFS(Weekly_Local!$D:$D,Weekly_Local!$U:$U,"2022-23",Weekly_Local!$T:$T,$A120))</f>
        <v/>
      </c>
      <c r="C120" s="5">
        <f>IF(COUNTIFS(Weekly_Local!$U:$U,"2023-24",Weekly_Local!$T:$T,$A120,Weekly_Local!$D:$D,"&lt;&gt;")=0,"",SUMIFS(Weekly_Local!$D:$D,Weekly_Local!$U:$U,"2023-24",Weekly_Local!$T:$T,$A120))</f>
        <v>0</v>
      </c>
      <c r="D120" s="5">
        <f>IF(COUNTIFS(Weekly_Local!$U:$U,"2024-25",Weekly_Local!$T:$T,$A120,Weekly_Local!$D:$D,"&lt;&gt;")=0,"",SUMIFS(Weekly_Local!$D:$D,Weekly_Local!$U:$U,"2024-25",Weekly_Local!$T:$T,$A120))</f>
        <v>0</v>
      </c>
      <c r="E120" s="5">
        <f>IF(COUNTIFS(Weekly_Local!$U:$U,"2025-26",Weekly_Local!$T:$T,$A120,Weekly_Local!$D:$D,"&lt;&gt;")=0,"",SUMIFS(Weekly_Local!$D:$D,Weekly_Local!$U:$U,"2025-26",Weekly_Local!$T:$T,$A120))</f>
        <v>0</v>
      </c>
      <c r="F120" s="5">
        <f>IF(COUNTIFS(Weekly_Local!$U:$U,"2026-27",Weekly_Local!$T:$T,$A120,Weekly_Local!$D:$D,"&lt;&gt;")=0,"",SUMIFS(Weekly_Local!$D:$D,Weekly_Local!$U:$U,"2026-27",Weekly_Local!$T:$T,$A120))</f>
        <v>0</v>
      </c>
      <c r="G120" s="5" t="str">
        <f>IF(AND($A120=53,DATE(YEAR(Config!$B$3),1,4)-WEEKDAY(DATE(YEAR(Config!$B$3),1,4))+1+364&gt;=DATE(YEAR(Config!$B$3)+1,1,4)-WEEKDAY(DATE(YEAR(Config!$B$3)+1,1,4))+1),"",TEXT(DATE(YEAR(Config!$B$3)+IF($A120&gt;=36,0,1),1,4)-WEEKDAY(DATE(YEAR(Config!$B$3)+IF($A120&gt;=36,0,1),1,4))+1+7*($A120-1)+1,"m/d/yy")&amp;" – "&amp;TEXT(DATE(YEAR(Config!$B$3)+IF($A120&gt;=36,0,1),1,4)-WEEKDAY(DATE(YEAR(Config!$B$3)+IF($A120&gt;=36,0,1),1,4))+1+7*($A120-1)+7,"m/d/yy"))</f>
        <v>9/14/26 – 9/20/26</v>
      </c>
    </row>
    <row r="121" spans="1:7" x14ac:dyDescent="0.2">
      <c r="A121" s="5">
        <v>38</v>
      </c>
      <c r="B121" s="5" t="str">
        <f>IF(COUNTIFS(Weekly_Local!$U:$U,"2022-23",Weekly_Local!$T:$T,$A121,Weekly_Local!$D:$D,"&lt;&gt;")=0,"",SUMIFS(Weekly_Local!$D:$D,Weekly_Local!$U:$U,"2022-23",Weekly_Local!$T:$T,$A121))</f>
        <v/>
      </c>
      <c r="C121" s="5">
        <f>IF(COUNTIFS(Weekly_Local!$U:$U,"2023-24",Weekly_Local!$T:$T,$A121,Weekly_Local!$D:$D,"&lt;&gt;")=0,"",SUMIFS(Weekly_Local!$D:$D,Weekly_Local!$U:$U,"2023-24",Weekly_Local!$T:$T,$A121))</f>
        <v>1</v>
      </c>
      <c r="D121" s="5">
        <f>IF(COUNTIFS(Weekly_Local!$U:$U,"2024-25",Weekly_Local!$T:$T,$A121,Weekly_Local!$D:$D,"&lt;&gt;")=0,"",SUMIFS(Weekly_Local!$D:$D,Weekly_Local!$U:$U,"2024-25",Weekly_Local!$T:$T,$A121))</f>
        <v>0</v>
      </c>
      <c r="E121" s="5">
        <f>IF(COUNTIFS(Weekly_Local!$U:$U,"2025-26",Weekly_Local!$T:$T,$A121,Weekly_Local!$D:$D,"&lt;&gt;")=0,"",SUMIFS(Weekly_Local!$D:$D,Weekly_Local!$U:$U,"2025-26",Weekly_Local!$T:$T,$A121))</f>
        <v>0</v>
      </c>
      <c r="F121" s="5">
        <f>IF(COUNTIFS(Weekly_Local!$U:$U,"2026-27",Weekly_Local!$T:$T,$A121,Weekly_Local!$D:$D,"&lt;&gt;")=0,"",SUMIFS(Weekly_Local!$D:$D,Weekly_Local!$U:$U,"2026-27",Weekly_Local!$T:$T,$A121))</f>
        <v>0</v>
      </c>
      <c r="G121" s="5" t="str">
        <f>IF(AND($A121=53,DATE(YEAR(Config!$B$3),1,4)-WEEKDAY(DATE(YEAR(Config!$B$3),1,4))+1+364&gt;=DATE(YEAR(Config!$B$3)+1,1,4)-WEEKDAY(DATE(YEAR(Config!$B$3)+1,1,4))+1),"",TEXT(DATE(YEAR(Config!$B$3)+IF($A121&gt;=36,0,1),1,4)-WEEKDAY(DATE(YEAR(Config!$B$3)+IF($A121&gt;=36,0,1),1,4))+1+7*($A121-1)+1,"m/d/yy")&amp;" – "&amp;TEXT(DATE(YEAR(Config!$B$3)+IF($A121&gt;=36,0,1),1,4)-WEEKDAY(DATE(YEAR(Config!$B$3)+IF($A121&gt;=36,0,1),1,4))+1+7*($A121-1)+7,"m/d/yy"))</f>
        <v>9/21/26 – 9/27/26</v>
      </c>
    </row>
    <row r="122" spans="1:7" x14ac:dyDescent="0.2">
      <c r="A122" s="5">
        <v>39</v>
      </c>
      <c r="B122" s="5" t="str">
        <f>IF(COUNTIFS(Weekly_Local!$U:$U,"2022-23",Weekly_Local!$T:$T,$A122,Weekly_Local!$D:$D,"&lt;&gt;")=0,"",SUMIFS(Weekly_Local!$D:$D,Weekly_Local!$U:$U,"2022-23",Weekly_Local!$T:$T,$A122))</f>
        <v/>
      </c>
      <c r="C122" s="5">
        <f>IF(COUNTIFS(Weekly_Local!$U:$U,"2023-24",Weekly_Local!$T:$T,$A122,Weekly_Local!$D:$D,"&lt;&gt;")=0,"",SUMIFS(Weekly_Local!$D:$D,Weekly_Local!$U:$U,"2023-24",Weekly_Local!$T:$T,$A122))</f>
        <v>0</v>
      </c>
      <c r="D122" s="5">
        <f>IF(COUNTIFS(Weekly_Local!$U:$U,"2024-25",Weekly_Local!$T:$T,$A122,Weekly_Local!$D:$D,"&lt;&gt;")=0,"",SUMIFS(Weekly_Local!$D:$D,Weekly_Local!$U:$U,"2024-25",Weekly_Local!$T:$T,$A122))</f>
        <v>0</v>
      </c>
      <c r="E122" s="5">
        <f>IF(COUNTIFS(Weekly_Local!$U:$U,"2025-26",Weekly_Local!$T:$T,$A122,Weekly_Local!$D:$D,"&lt;&gt;")=0,"",SUMIFS(Weekly_Local!$D:$D,Weekly_Local!$U:$U,"2025-26",Weekly_Local!$T:$T,$A122))</f>
        <v>0</v>
      </c>
      <c r="F122" s="5">
        <f>IF(COUNTIFS(Weekly_Local!$U:$U,"2026-27",Weekly_Local!$T:$T,$A122,Weekly_Local!$D:$D,"&lt;&gt;")=0,"",SUMIFS(Weekly_Local!$D:$D,Weekly_Local!$U:$U,"2026-27",Weekly_Local!$T:$T,$A122))</f>
        <v>1</v>
      </c>
      <c r="G122" s="5" t="str">
        <f>IF(AND($A122=53,DATE(YEAR(Config!$B$3),1,4)-WEEKDAY(DATE(YEAR(Config!$B$3),1,4))+1+364&gt;=DATE(YEAR(Config!$B$3)+1,1,4)-WEEKDAY(DATE(YEAR(Config!$B$3)+1,1,4))+1),"",TEXT(DATE(YEAR(Config!$B$3)+IF($A122&gt;=36,0,1),1,4)-WEEKDAY(DATE(YEAR(Config!$B$3)+IF($A122&gt;=36,0,1),1,4))+1+7*($A122-1)+1,"m/d/yy")&amp;" – "&amp;TEXT(DATE(YEAR(Config!$B$3)+IF($A122&gt;=36,0,1),1,4)-WEEKDAY(DATE(YEAR(Config!$B$3)+IF($A122&gt;=36,0,1),1,4))+1+7*($A122-1)+7,"m/d/yy"))</f>
        <v>9/28/26 – 10/4/26</v>
      </c>
    </row>
    <row r="123" spans="1:7" x14ac:dyDescent="0.2">
      <c r="A123" s="5">
        <v>40</v>
      </c>
      <c r="B123" s="5" t="str">
        <f>IF(COUNTIFS(Weekly_Local!$U:$U,"2022-23",Weekly_Local!$T:$T,$A123,Weekly_Local!$D:$D,"&lt;&gt;")=0,"",SUMIFS(Weekly_Local!$D:$D,Weekly_Local!$U:$U,"2022-23",Weekly_Local!$T:$T,$A123))</f>
        <v/>
      </c>
      <c r="C123" s="5">
        <f>IF(COUNTIFS(Weekly_Local!$U:$U,"2023-24",Weekly_Local!$T:$T,$A123,Weekly_Local!$D:$D,"&lt;&gt;")=0,"",SUMIFS(Weekly_Local!$D:$D,Weekly_Local!$U:$U,"2023-24",Weekly_Local!$T:$T,$A123))</f>
        <v>0</v>
      </c>
      <c r="D123" s="5">
        <f>IF(COUNTIFS(Weekly_Local!$U:$U,"2024-25",Weekly_Local!$T:$T,$A123,Weekly_Local!$D:$D,"&lt;&gt;")=0,"",SUMIFS(Weekly_Local!$D:$D,Weekly_Local!$U:$U,"2024-25",Weekly_Local!$T:$T,$A123))</f>
        <v>0</v>
      </c>
      <c r="E123" s="5">
        <f>IF(COUNTIFS(Weekly_Local!$U:$U,"2025-26",Weekly_Local!$T:$T,$A123,Weekly_Local!$D:$D,"&lt;&gt;")=0,"",SUMIFS(Weekly_Local!$D:$D,Weekly_Local!$U:$U,"2025-26",Weekly_Local!$T:$T,$A123))</f>
        <v>0</v>
      </c>
      <c r="F123" s="5" t="str">
        <f>IF(COUNTIFS(Weekly_Local!$U:$U,"2026-27",Weekly_Local!$T:$T,$A123,Weekly_Local!$D:$D,"&lt;&gt;")=0,"",SUMIFS(Weekly_Local!$D:$D,Weekly_Local!$U:$U,"2026-27",Weekly_Local!$T:$T,$A123))</f>
        <v/>
      </c>
      <c r="G123" s="5" t="str">
        <f>IF(AND($A123=53,DATE(YEAR(Config!$B$3),1,4)-WEEKDAY(DATE(YEAR(Config!$B$3),1,4))+1+364&gt;=DATE(YEAR(Config!$B$3)+1,1,4)-WEEKDAY(DATE(YEAR(Config!$B$3)+1,1,4))+1),"",TEXT(DATE(YEAR(Config!$B$3)+IF($A123&gt;=36,0,1),1,4)-WEEKDAY(DATE(YEAR(Config!$B$3)+IF($A123&gt;=36,0,1),1,4))+1+7*($A123-1)+1,"m/d/yy")&amp;" – "&amp;TEXT(DATE(YEAR(Config!$B$3)+IF($A123&gt;=36,0,1),1,4)-WEEKDAY(DATE(YEAR(Config!$B$3)+IF($A123&gt;=36,0,1),1,4))+1+7*($A123-1)+7,"m/d/yy"))</f>
        <v>10/5/26 – 10/11/26</v>
      </c>
    </row>
    <row r="124" spans="1:7" x14ac:dyDescent="0.2">
      <c r="A124" s="5">
        <v>41</v>
      </c>
      <c r="B124" s="5" t="str">
        <f>IF(COUNTIFS(Weekly_Local!$U:$U,"2022-23",Weekly_Local!$T:$T,$A124,Weekly_Local!$D:$D,"&lt;&gt;")=0,"",SUMIFS(Weekly_Local!$D:$D,Weekly_Local!$U:$U,"2022-23",Weekly_Local!$T:$T,$A124))</f>
        <v/>
      </c>
      <c r="C124" s="5">
        <f>IF(COUNTIFS(Weekly_Local!$U:$U,"2023-24",Weekly_Local!$T:$T,$A124,Weekly_Local!$D:$D,"&lt;&gt;")=0,"",SUMIFS(Weekly_Local!$D:$D,Weekly_Local!$U:$U,"2023-24",Weekly_Local!$T:$T,$A124))</f>
        <v>0</v>
      </c>
      <c r="D124" s="5">
        <f>IF(COUNTIFS(Weekly_Local!$U:$U,"2024-25",Weekly_Local!$T:$T,$A124,Weekly_Local!$D:$D,"&lt;&gt;")=0,"",SUMIFS(Weekly_Local!$D:$D,Weekly_Local!$U:$U,"2024-25",Weekly_Local!$T:$T,$A124))</f>
        <v>0</v>
      </c>
      <c r="E124" s="5">
        <f>IF(COUNTIFS(Weekly_Local!$U:$U,"2025-26",Weekly_Local!$T:$T,$A124,Weekly_Local!$D:$D,"&lt;&gt;")=0,"",SUMIFS(Weekly_Local!$D:$D,Weekly_Local!$U:$U,"2025-26",Weekly_Local!$T:$T,$A124))</f>
        <v>0</v>
      </c>
      <c r="F124" s="5" t="str">
        <f>IF(COUNTIFS(Weekly_Local!$U:$U,"2026-27",Weekly_Local!$T:$T,$A124,Weekly_Local!$D:$D,"&lt;&gt;")=0,"",SUMIFS(Weekly_Local!$D:$D,Weekly_Local!$U:$U,"2026-27",Weekly_Local!$T:$T,$A124))</f>
        <v/>
      </c>
      <c r="G124" s="5" t="str">
        <f>IF(AND($A124=53,DATE(YEAR(Config!$B$3),1,4)-WEEKDAY(DATE(YEAR(Config!$B$3),1,4))+1+364&gt;=DATE(YEAR(Config!$B$3)+1,1,4)-WEEKDAY(DATE(YEAR(Config!$B$3)+1,1,4))+1),"",TEXT(DATE(YEAR(Config!$B$3)+IF($A124&gt;=36,0,1),1,4)-WEEKDAY(DATE(YEAR(Config!$B$3)+IF($A124&gt;=36,0,1),1,4))+1+7*($A124-1)+1,"m/d/yy")&amp;" – "&amp;TEXT(DATE(YEAR(Config!$B$3)+IF($A124&gt;=36,0,1),1,4)-WEEKDAY(DATE(YEAR(Config!$B$3)+IF($A124&gt;=36,0,1),1,4))+1+7*($A124-1)+7,"m/d/yy"))</f>
        <v>10/12/26 – 10/18/26</v>
      </c>
    </row>
    <row r="125" spans="1:7" x14ac:dyDescent="0.2">
      <c r="A125" s="5">
        <v>42</v>
      </c>
      <c r="B125" s="5" t="str">
        <f>IF(COUNTIFS(Weekly_Local!$U:$U,"2022-23",Weekly_Local!$T:$T,$A125,Weekly_Local!$D:$D,"&lt;&gt;")=0,"",SUMIFS(Weekly_Local!$D:$D,Weekly_Local!$U:$U,"2022-23",Weekly_Local!$T:$T,$A125))</f>
        <v/>
      </c>
      <c r="C125" s="5">
        <f>IF(COUNTIFS(Weekly_Local!$U:$U,"2023-24",Weekly_Local!$T:$T,$A125,Weekly_Local!$D:$D,"&lt;&gt;")=0,"",SUMIFS(Weekly_Local!$D:$D,Weekly_Local!$U:$U,"2023-24",Weekly_Local!$T:$T,$A125))</f>
        <v>0</v>
      </c>
      <c r="D125" s="5">
        <f>IF(COUNTIFS(Weekly_Local!$U:$U,"2024-25",Weekly_Local!$T:$T,$A125,Weekly_Local!$D:$D,"&lt;&gt;")=0,"",SUMIFS(Weekly_Local!$D:$D,Weekly_Local!$U:$U,"2024-25",Weekly_Local!$T:$T,$A125))</f>
        <v>0</v>
      </c>
      <c r="E125" s="5">
        <f>IF(COUNTIFS(Weekly_Local!$U:$U,"2025-26",Weekly_Local!$T:$T,$A125,Weekly_Local!$D:$D,"&lt;&gt;")=0,"",SUMIFS(Weekly_Local!$D:$D,Weekly_Local!$U:$U,"2025-26",Weekly_Local!$T:$T,$A125))</f>
        <v>0</v>
      </c>
      <c r="F125" s="5" t="str">
        <f>IF(COUNTIFS(Weekly_Local!$U:$U,"2026-27",Weekly_Local!$T:$T,$A125,Weekly_Local!$D:$D,"&lt;&gt;")=0,"",SUMIFS(Weekly_Local!$D:$D,Weekly_Local!$U:$U,"2026-27",Weekly_Local!$T:$T,$A125))</f>
        <v/>
      </c>
      <c r="G125" s="5" t="str">
        <f>IF(AND($A125=53,DATE(YEAR(Config!$B$3),1,4)-WEEKDAY(DATE(YEAR(Config!$B$3),1,4))+1+364&gt;=DATE(YEAR(Config!$B$3)+1,1,4)-WEEKDAY(DATE(YEAR(Config!$B$3)+1,1,4))+1),"",TEXT(DATE(YEAR(Config!$B$3)+IF($A125&gt;=36,0,1),1,4)-WEEKDAY(DATE(YEAR(Config!$B$3)+IF($A125&gt;=36,0,1),1,4))+1+7*($A125-1)+1,"m/d/yy")&amp;" – "&amp;TEXT(DATE(YEAR(Config!$B$3)+IF($A125&gt;=36,0,1),1,4)-WEEKDAY(DATE(YEAR(Config!$B$3)+IF($A125&gt;=36,0,1),1,4))+1+7*($A125-1)+7,"m/d/yy"))</f>
        <v>10/19/26 – 10/25/26</v>
      </c>
    </row>
    <row r="126" spans="1:7" x14ac:dyDescent="0.2">
      <c r="A126" s="5">
        <v>43</v>
      </c>
      <c r="B126" s="5" t="str">
        <f>IF(COUNTIFS(Weekly_Local!$U:$U,"2022-23",Weekly_Local!$T:$T,$A126,Weekly_Local!$D:$D,"&lt;&gt;")=0,"",SUMIFS(Weekly_Local!$D:$D,Weekly_Local!$U:$U,"2022-23",Weekly_Local!$T:$T,$A126))</f>
        <v/>
      </c>
      <c r="C126" s="5">
        <f>IF(COUNTIFS(Weekly_Local!$U:$U,"2023-24",Weekly_Local!$T:$T,$A126,Weekly_Local!$D:$D,"&lt;&gt;")=0,"",SUMIFS(Weekly_Local!$D:$D,Weekly_Local!$U:$U,"2023-24",Weekly_Local!$T:$T,$A126))</f>
        <v>0</v>
      </c>
      <c r="D126" s="5">
        <f>IF(COUNTIFS(Weekly_Local!$U:$U,"2024-25",Weekly_Local!$T:$T,$A126,Weekly_Local!$D:$D,"&lt;&gt;")=0,"",SUMIFS(Weekly_Local!$D:$D,Weekly_Local!$U:$U,"2024-25",Weekly_Local!$T:$T,$A126))</f>
        <v>2</v>
      </c>
      <c r="E126" s="5">
        <f>IF(COUNTIFS(Weekly_Local!$U:$U,"2025-26",Weekly_Local!$T:$T,$A126,Weekly_Local!$D:$D,"&lt;&gt;")=0,"",SUMIFS(Weekly_Local!$D:$D,Weekly_Local!$U:$U,"2025-26",Weekly_Local!$T:$T,$A126))</f>
        <v>0</v>
      </c>
      <c r="F126" s="5" t="str">
        <f>IF(COUNTIFS(Weekly_Local!$U:$U,"2026-27",Weekly_Local!$T:$T,$A126,Weekly_Local!$D:$D,"&lt;&gt;")=0,"",SUMIFS(Weekly_Local!$D:$D,Weekly_Local!$U:$U,"2026-27",Weekly_Local!$T:$T,$A126))</f>
        <v/>
      </c>
      <c r="G126" s="5" t="str">
        <f>IF(AND($A126=53,DATE(YEAR(Config!$B$3),1,4)-WEEKDAY(DATE(YEAR(Config!$B$3),1,4))+1+364&gt;=DATE(YEAR(Config!$B$3)+1,1,4)-WEEKDAY(DATE(YEAR(Config!$B$3)+1,1,4))+1),"",TEXT(DATE(YEAR(Config!$B$3)+IF($A126&gt;=36,0,1),1,4)-WEEKDAY(DATE(YEAR(Config!$B$3)+IF($A126&gt;=36,0,1),1,4))+1+7*($A126-1)+1,"m/d/yy")&amp;" – "&amp;TEXT(DATE(YEAR(Config!$B$3)+IF($A126&gt;=36,0,1),1,4)-WEEKDAY(DATE(YEAR(Config!$B$3)+IF($A126&gt;=36,0,1),1,4))+1+7*($A126-1)+7,"m/d/yy"))</f>
        <v>10/26/26 – 11/1/26</v>
      </c>
    </row>
    <row r="127" spans="1:7" x14ac:dyDescent="0.2">
      <c r="A127" s="5">
        <v>44</v>
      </c>
      <c r="B127" s="5" t="str">
        <f>IF(COUNTIFS(Weekly_Local!$U:$U,"2022-23",Weekly_Local!$T:$T,$A127,Weekly_Local!$D:$D,"&lt;&gt;")=0,"",SUMIFS(Weekly_Local!$D:$D,Weekly_Local!$U:$U,"2022-23",Weekly_Local!$T:$T,$A127))</f>
        <v/>
      </c>
      <c r="C127" s="5">
        <f>IF(COUNTIFS(Weekly_Local!$U:$U,"2023-24",Weekly_Local!$T:$T,$A127,Weekly_Local!$D:$D,"&lt;&gt;")=0,"",SUMIFS(Weekly_Local!$D:$D,Weekly_Local!$U:$U,"2023-24",Weekly_Local!$T:$T,$A127))</f>
        <v>1</v>
      </c>
      <c r="D127" s="5">
        <f>IF(COUNTIFS(Weekly_Local!$U:$U,"2024-25",Weekly_Local!$T:$T,$A127,Weekly_Local!$D:$D,"&lt;&gt;")=0,"",SUMIFS(Weekly_Local!$D:$D,Weekly_Local!$U:$U,"2024-25",Weekly_Local!$T:$T,$A127))</f>
        <v>0</v>
      </c>
      <c r="E127" s="5">
        <f>IF(COUNTIFS(Weekly_Local!$U:$U,"2025-26",Weekly_Local!$T:$T,$A127,Weekly_Local!$D:$D,"&lt;&gt;")=0,"",SUMIFS(Weekly_Local!$D:$D,Weekly_Local!$U:$U,"2025-26",Weekly_Local!$T:$T,$A127))</f>
        <v>0</v>
      </c>
      <c r="F127" s="5" t="str">
        <f>IF(COUNTIFS(Weekly_Local!$U:$U,"2026-27",Weekly_Local!$T:$T,$A127,Weekly_Local!$D:$D,"&lt;&gt;")=0,"",SUMIFS(Weekly_Local!$D:$D,Weekly_Local!$U:$U,"2026-27",Weekly_Local!$T:$T,$A127))</f>
        <v/>
      </c>
      <c r="G127" s="5" t="str">
        <f>IF(AND($A127=53,DATE(YEAR(Config!$B$3),1,4)-WEEKDAY(DATE(YEAR(Config!$B$3),1,4))+1+364&gt;=DATE(YEAR(Config!$B$3)+1,1,4)-WEEKDAY(DATE(YEAR(Config!$B$3)+1,1,4))+1),"",TEXT(DATE(YEAR(Config!$B$3)+IF($A127&gt;=36,0,1),1,4)-WEEKDAY(DATE(YEAR(Config!$B$3)+IF($A127&gt;=36,0,1),1,4))+1+7*($A127-1)+1,"m/d/yy")&amp;" – "&amp;TEXT(DATE(YEAR(Config!$B$3)+IF($A127&gt;=36,0,1),1,4)-WEEKDAY(DATE(YEAR(Config!$B$3)+IF($A127&gt;=36,0,1),1,4))+1+7*($A127-1)+7,"m/d/yy"))</f>
        <v>11/2/26 – 11/8/26</v>
      </c>
    </row>
    <row r="128" spans="1:7" x14ac:dyDescent="0.2">
      <c r="A128" s="5">
        <v>45</v>
      </c>
      <c r="B128" s="5" t="str">
        <f>IF(COUNTIFS(Weekly_Local!$U:$U,"2022-23",Weekly_Local!$T:$T,$A128,Weekly_Local!$D:$D,"&lt;&gt;")=0,"",SUMIFS(Weekly_Local!$D:$D,Weekly_Local!$U:$U,"2022-23",Weekly_Local!$T:$T,$A128))</f>
        <v/>
      </c>
      <c r="C128" s="5">
        <f>IF(COUNTIFS(Weekly_Local!$U:$U,"2023-24",Weekly_Local!$T:$T,$A128,Weekly_Local!$D:$D,"&lt;&gt;")=0,"",SUMIFS(Weekly_Local!$D:$D,Weekly_Local!$U:$U,"2023-24",Weekly_Local!$T:$T,$A128))</f>
        <v>1</v>
      </c>
      <c r="D128" s="5">
        <f>IF(COUNTIFS(Weekly_Local!$U:$U,"2024-25",Weekly_Local!$T:$T,$A128,Weekly_Local!$D:$D,"&lt;&gt;")=0,"",SUMIFS(Weekly_Local!$D:$D,Weekly_Local!$U:$U,"2024-25",Weekly_Local!$T:$T,$A128))</f>
        <v>0</v>
      </c>
      <c r="E128" s="5">
        <f>IF(COUNTIFS(Weekly_Local!$U:$U,"2025-26",Weekly_Local!$T:$T,$A128,Weekly_Local!$D:$D,"&lt;&gt;")=0,"",SUMIFS(Weekly_Local!$D:$D,Weekly_Local!$U:$U,"2025-26",Weekly_Local!$T:$T,$A128))</f>
        <v>0</v>
      </c>
      <c r="F128" s="5" t="str">
        <f>IF(COUNTIFS(Weekly_Local!$U:$U,"2026-27",Weekly_Local!$T:$T,$A128,Weekly_Local!$D:$D,"&lt;&gt;")=0,"",SUMIFS(Weekly_Local!$D:$D,Weekly_Local!$U:$U,"2026-27",Weekly_Local!$T:$T,$A128))</f>
        <v/>
      </c>
      <c r="G128" s="5" t="str">
        <f>IF(AND($A128=53,DATE(YEAR(Config!$B$3),1,4)-WEEKDAY(DATE(YEAR(Config!$B$3),1,4))+1+364&gt;=DATE(YEAR(Config!$B$3)+1,1,4)-WEEKDAY(DATE(YEAR(Config!$B$3)+1,1,4))+1),"",TEXT(DATE(YEAR(Config!$B$3)+IF($A128&gt;=36,0,1),1,4)-WEEKDAY(DATE(YEAR(Config!$B$3)+IF($A128&gt;=36,0,1),1,4))+1+7*($A128-1)+1,"m/d/yy")&amp;" – "&amp;TEXT(DATE(YEAR(Config!$B$3)+IF($A128&gt;=36,0,1),1,4)-WEEKDAY(DATE(YEAR(Config!$B$3)+IF($A128&gt;=36,0,1),1,4))+1+7*($A128-1)+7,"m/d/yy"))</f>
        <v>11/9/26 – 11/15/26</v>
      </c>
    </row>
    <row r="129" spans="1:7" x14ac:dyDescent="0.2">
      <c r="A129" s="5">
        <v>46</v>
      </c>
      <c r="B129" s="5" t="str">
        <f>IF(COUNTIFS(Weekly_Local!$U:$U,"2022-23",Weekly_Local!$T:$T,$A129,Weekly_Local!$D:$D,"&lt;&gt;")=0,"",SUMIFS(Weekly_Local!$D:$D,Weekly_Local!$U:$U,"2022-23",Weekly_Local!$T:$T,$A129))</f>
        <v/>
      </c>
      <c r="C129" s="5">
        <f>IF(COUNTIFS(Weekly_Local!$U:$U,"2023-24",Weekly_Local!$T:$T,$A129,Weekly_Local!$D:$D,"&lt;&gt;")=0,"",SUMIFS(Weekly_Local!$D:$D,Weekly_Local!$U:$U,"2023-24",Weekly_Local!$T:$T,$A129))</f>
        <v>0</v>
      </c>
      <c r="D129" s="5">
        <f>IF(COUNTIFS(Weekly_Local!$U:$U,"2024-25",Weekly_Local!$T:$T,$A129,Weekly_Local!$D:$D,"&lt;&gt;")=0,"",SUMIFS(Weekly_Local!$D:$D,Weekly_Local!$U:$U,"2024-25",Weekly_Local!$T:$T,$A129))</f>
        <v>0</v>
      </c>
      <c r="E129" s="5">
        <f>IF(COUNTIFS(Weekly_Local!$U:$U,"2025-26",Weekly_Local!$T:$T,$A129,Weekly_Local!$D:$D,"&lt;&gt;")=0,"",SUMIFS(Weekly_Local!$D:$D,Weekly_Local!$U:$U,"2025-26",Weekly_Local!$T:$T,$A129))</f>
        <v>0</v>
      </c>
      <c r="F129" s="5" t="str">
        <f>IF(COUNTIFS(Weekly_Local!$U:$U,"2026-27",Weekly_Local!$T:$T,$A129,Weekly_Local!$D:$D,"&lt;&gt;")=0,"",SUMIFS(Weekly_Local!$D:$D,Weekly_Local!$U:$U,"2026-27",Weekly_Local!$T:$T,$A129))</f>
        <v/>
      </c>
      <c r="G129" s="5" t="str">
        <f>IF(AND($A129=53,DATE(YEAR(Config!$B$3),1,4)-WEEKDAY(DATE(YEAR(Config!$B$3),1,4))+1+364&gt;=DATE(YEAR(Config!$B$3)+1,1,4)-WEEKDAY(DATE(YEAR(Config!$B$3)+1,1,4))+1),"",TEXT(DATE(YEAR(Config!$B$3)+IF($A129&gt;=36,0,1),1,4)-WEEKDAY(DATE(YEAR(Config!$B$3)+IF($A129&gt;=36,0,1),1,4))+1+7*($A129-1)+1,"m/d/yy")&amp;" – "&amp;TEXT(DATE(YEAR(Config!$B$3)+IF($A129&gt;=36,0,1),1,4)-WEEKDAY(DATE(YEAR(Config!$B$3)+IF($A129&gt;=36,0,1),1,4))+1+7*($A129-1)+7,"m/d/yy"))</f>
        <v>11/16/26 – 11/22/26</v>
      </c>
    </row>
    <row r="130" spans="1:7" x14ac:dyDescent="0.2">
      <c r="A130" s="5">
        <v>47</v>
      </c>
      <c r="B130" s="5" t="str">
        <f>IF(COUNTIFS(Weekly_Local!$U:$U,"2022-23",Weekly_Local!$T:$T,$A130,Weekly_Local!$D:$D,"&lt;&gt;")=0,"",SUMIFS(Weekly_Local!$D:$D,Weekly_Local!$U:$U,"2022-23",Weekly_Local!$T:$T,$A130))</f>
        <v/>
      </c>
      <c r="C130" s="5">
        <f>IF(COUNTIFS(Weekly_Local!$U:$U,"2023-24",Weekly_Local!$T:$T,$A130,Weekly_Local!$D:$D,"&lt;&gt;")=0,"",SUMIFS(Weekly_Local!$D:$D,Weekly_Local!$U:$U,"2023-24",Weekly_Local!$T:$T,$A130))</f>
        <v>3</v>
      </c>
      <c r="D130" s="5">
        <f>IF(COUNTIFS(Weekly_Local!$U:$U,"2024-25",Weekly_Local!$T:$T,$A130,Weekly_Local!$D:$D,"&lt;&gt;")=0,"",SUMIFS(Weekly_Local!$D:$D,Weekly_Local!$U:$U,"2024-25",Weekly_Local!$T:$T,$A130))</f>
        <v>0</v>
      </c>
      <c r="E130" s="5">
        <f>IF(COUNTIFS(Weekly_Local!$U:$U,"2025-26",Weekly_Local!$T:$T,$A130,Weekly_Local!$D:$D,"&lt;&gt;")=0,"",SUMIFS(Weekly_Local!$D:$D,Weekly_Local!$U:$U,"2025-26",Weekly_Local!$T:$T,$A130))</f>
        <v>0</v>
      </c>
      <c r="F130" s="5" t="str">
        <f>IF(COUNTIFS(Weekly_Local!$U:$U,"2026-27",Weekly_Local!$T:$T,$A130,Weekly_Local!$D:$D,"&lt;&gt;")=0,"",SUMIFS(Weekly_Local!$D:$D,Weekly_Local!$U:$U,"2026-27",Weekly_Local!$T:$T,$A130))</f>
        <v/>
      </c>
      <c r="G130" s="5" t="str">
        <f>IF(AND($A130=53,DATE(YEAR(Config!$B$3),1,4)-WEEKDAY(DATE(YEAR(Config!$B$3),1,4))+1+364&gt;=DATE(YEAR(Config!$B$3)+1,1,4)-WEEKDAY(DATE(YEAR(Config!$B$3)+1,1,4))+1),"",TEXT(DATE(YEAR(Config!$B$3)+IF($A130&gt;=36,0,1),1,4)-WEEKDAY(DATE(YEAR(Config!$B$3)+IF($A130&gt;=36,0,1),1,4))+1+7*($A130-1)+1,"m/d/yy")&amp;" – "&amp;TEXT(DATE(YEAR(Config!$B$3)+IF($A130&gt;=36,0,1),1,4)-WEEKDAY(DATE(YEAR(Config!$B$3)+IF($A130&gt;=36,0,1),1,4))+1+7*($A130-1)+7,"m/d/yy"))</f>
        <v>11/23/26 – 11/29/26</v>
      </c>
    </row>
    <row r="131" spans="1:7" x14ac:dyDescent="0.2">
      <c r="A131" s="5">
        <v>48</v>
      </c>
      <c r="B131" s="5" t="str">
        <f>IF(COUNTIFS(Weekly_Local!$U:$U,"2022-23",Weekly_Local!$T:$T,$A131,Weekly_Local!$D:$D,"&lt;&gt;")=0,"",SUMIFS(Weekly_Local!$D:$D,Weekly_Local!$U:$U,"2022-23",Weekly_Local!$T:$T,$A131))</f>
        <v/>
      </c>
      <c r="C131" s="5">
        <f>IF(COUNTIFS(Weekly_Local!$U:$U,"2023-24",Weekly_Local!$T:$T,$A131,Weekly_Local!$D:$D,"&lt;&gt;")=0,"",SUMIFS(Weekly_Local!$D:$D,Weekly_Local!$U:$U,"2023-24",Weekly_Local!$T:$T,$A131))</f>
        <v>0</v>
      </c>
      <c r="D131" s="5">
        <f>IF(COUNTIFS(Weekly_Local!$U:$U,"2024-25",Weekly_Local!$T:$T,$A131,Weekly_Local!$D:$D,"&lt;&gt;")=0,"",SUMIFS(Weekly_Local!$D:$D,Weekly_Local!$U:$U,"2024-25",Weekly_Local!$T:$T,$A131))</f>
        <v>0</v>
      </c>
      <c r="E131" s="5">
        <f>IF(COUNTIFS(Weekly_Local!$U:$U,"2025-26",Weekly_Local!$T:$T,$A131,Weekly_Local!$D:$D,"&lt;&gt;")=0,"",SUMIFS(Weekly_Local!$D:$D,Weekly_Local!$U:$U,"2025-26",Weekly_Local!$T:$T,$A131))</f>
        <v>0</v>
      </c>
      <c r="F131" s="5" t="str">
        <f>IF(COUNTIFS(Weekly_Local!$U:$U,"2026-27",Weekly_Local!$T:$T,$A131,Weekly_Local!$D:$D,"&lt;&gt;")=0,"",SUMIFS(Weekly_Local!$D:$D,Weekly_Local!$U:$U,"2026-27",Weekly_Local!$T:$T,$A131))</f>
        <v/>
      </c>
      <c r="G131" s="5" t="str">
        <f>IF(AND($A131=53,DATE(YEAR(Config!$B$3),1,4)-WEEKDAY(DATE(YEAR(Config!$B$3),1,4))+1+364&gt;=DATE(YEAR(Config!$B$3)+1,1,4)-WEEKDAY(DATE(YEAR(Config!$B$3)+1,1,4))+1),"",TEXT(DATE(YEAR(Config!$B$3)+IF($A131&gt;=36,0,1),1,4)-WEEKDAY(DATE(YEAR(Config!$B$3)+IF($A131&gt;=36,0,1),1,4))+1+7*($A131-1)+1,"m/d/yy")&amp;" – "&amp;TEXT(DATE(YEAR(Config!$B$3)+IF($A131&gt;=36,0,1),1,4)-WEEKDAY(DATE(YEAR(Config!$B$3)+IF($A131&gt;=36,0,1),1,4))+1+7*($A131-1)+7,"m/d/yy"))</f>
        <v>11/30/26 – 12/6/26</v>
      </c>
    </row>
    <row r="132" spans="1:7" x14ac:dyDescent="0.2">
      <c r="A132" s="5">
        <v>49</v>
      </c>
      <c r="B132" s="5" t="str">
        <f>IF(COUNTIFS(Weekly_Local!$U:$U,"2022-23",Weekly_Local!$T:$T,$A132,Weekly_Local!$D:$D,"&lt;&gt;")=0,"",SUMIFS(Weekly_Local!$D:$D,Weekly_Local!$U:$U,"2022-23",Weekly_Local!$T:$T,$A132))</f>
        <v/>
      </c>
      <c r="C132" s="5">
        <f>IF(COUNTIFS(Weekly_Local!$U:$U,"2023-24",Weekly_Local!$T:$T,$A132,Weekly_Local!$D:$D,"&lt;&gt;")=0,"",SUMIFS(Weekly_Local!$D:$D,Weekly_Local!$U:$U,"2023-24",Weekly_Local!$T:$T,$A132))</f>
        <v>1</v>
      </c>
      <c r="D132" s="5">
        <f>IF(COUNTIFS(Weekly_Local!$U:$U,"2024-25",Weekly_Local!$T:$T,$A132,Weekly_Local!$D:$D,"&lt;&gt;")=0,"",SUMIFS(Weekly_Local!$D:$D,Weekly_Local!$U:$U,"2024-25",Weekly_Local!$T:$T,$A132))</f>
        <v>0</v>
      </c>
      <c r="E132" s="5">
        <f>IF(COUNTIFS(Weekly_Local!$U:$U,"2025-26",Weekly_Local!$T:$T,$A132,Weekly_Local!$D:$D,"&lt;&gt;")=0,"",SUMIFS(Weekly_Local!$D:$D,Weekly_Local!$U:$U,"2025-26",Weekly_Local!$T:$T,$A132))</f>
        <v>0</v>
      </c>
      <c r="F132" s="5" t="str">
        <f>IF(COUNTIFS(Weekly_Local!$U:$U,"2026-27",Weekly_Local!$T:$T,$A132,Weekly_Local!$D:$D,"&lt;&gt;")=0,"",SUMIFS(Weekly_Local!$D:$D,Weekly_Local!$U:$U,"2026-27",Weekly_Local!$T:$T,$A132))</f>
        <v/>
      </c>
      <c r="G132" s="5" t="str">
        <f>IF(AND($A132=53,DATE(YEAR(Config!$B$3),1,4)-WEEKDAY(DATE(YEAR(Config!$B$3),1,4))+1+364&gt;=DATE(YEAR(Config!$B$3)+1,1,4)-WEEKDAY(DATE(YEAR(Config!$B$3)+1,1,4))+1),"",TEXT(DATE(YEAR(Config!$B$3)+IF($A132&gt;=36,0,1),1,4)-WEEKDAY(DATE(YEAR(Config!$B$3)+IF($A132&gt;=36,0,1),1,4))+1+7*($A132-1)+1,"m/d/yy")&amp;" – "&amp;TEXT(DATE(YEAR(Config!$B$3)+IF($A132&gt;=36,0,1),1,4)-WEEKDAY(DATE(YEAR(Config!$B$3)+IF($A132&gt;=36,0,1),1,4))+1+7*($A132-1)+7,"m/d/yy"))</f>
        <v>12/7/26 – 12/13/26</v>
      </c>
    </row>
    <row r="133" spans="1:7" x14ac:dyDescent="0.2">
      <c r="A133" s="5">
        <v>50</v>
      </c>
      <c r="B133" s="5" t="str">
        <f>IF(COUNTIFS(Weekly_Local!$U:$U,"2022-23",Weekly_Local!$T:$T,$A133,Weekly_Local!$D:$D,"&lt;&gt;")=0,"",SUMIFS(Weekly_Local!$D:$D,Weekly_Local!$U:$U,"2022-23",Weekly_Local!$T:$T,$A133))</f>
        <v/>
      </c>
      <c r="C133" s="5">
        <f>IF(COUNTIFS(Weekly_Local!$U:$U,"2023-24",Weekly_Local!$T:$T,$A133,Weekly_Local!$D:$D,"&lt;&gt;")=0,"",SUMIFS(Weekly_Local!$D:$D,Weekly_Local!$U:$U,"2023-24",Weekly_Local!$T:$T,$A133))</f>
        <v>6</v>
      </c>
      <c r="D133" s="5">
        <f>IF(COUNTIFS(Weekly_Local!$U:$U,"2024-25",Weekly_Local!$T:$T,$A133,Weekly_Local!$D:$D,"&lt;&gt;")=0,"",SUMIFS(Weekly_Local!$D:$D,Weekly_Local!$U:$U,"2024-25",Weekly_Local!$T:$T,$A133))</f>
        <v>0</v>
      </c>
      <c r="E133" s="5">
        <f>IF(COUNTIFS(Weekly_Local!$U:$U,"2025-26",Weekly_Local!$T:$T,$A133,Weekly_Local!$D:$D,"&lt;&gt;")=0,"",SUMIFS(Weekly_Local!$D:$D,Weekly_Local!$U:$U,"2025-26",Weekly_Local!$T:$T,$A133))</f>
        <v>1</v>
      </c>
      <c r="F133" s="5" t="str">
        <f>IF(COUNTIFS(Weekly_Local!$U:$U,"2026-27",Weekly_Local!$T:$T,$A133,Weekly_Local!$D:$D,"&lt;&gt;")=0,"",SUMIFS(Weekly_Local!$D:$D,Weekly_Local!$U:$U,"2026-27",Weekly_Local!$T:$T,$A133))</f>
        <v/>
      </c>
      <c r="G133" s="5" t="str">
        <f>IF(AND($A133=53,DATE(YEAR(Config!$B$3),1,4)-WEEKDAY(DATE(YEAR(Config!$B$3),1,4))+1+364&gt;=DATE(YEAR(Config!$B$3)+1,1,4)-WEEKDAY(DATE(YEAR(Config!$B$3)+1,1,4))+1),"",TEXT(DATE(YEAR(Config!$B$3)+IF($A133&gt;=36,0,1),1,4)-WEEKDAY(DATE(YEAR(Config!$B$3)+IF($A133&gt;=36,0,1),1,4))+1+7*($A133-1)+1,"m/d/yy")&amp;" – "&amp;TEXT(DATE(YEAR(Config!$B$3)+IF($A133&gt;=36,0,1),1,4)-WEEKDAY(DATE(YEAR(Config!$B$3)+IF($A133&gt;=36,0,1),1,4))+1+7*($A133-1)+7,"m/d/yy"))</f>
        <v>12/14/26 – 12/20/26</v>
      </c>
    </row>
    <row r="134" spans="1:7" x14ac:dyDescent="0.2">
      <c r="A134" s="5">
        <v>51</v>
      </c>
      <c r="B134" s="5">
        <f>IF(COUNTIFS(Weekly_Local!$U:$U,"2022-23",Weekly_Local!$T:$T,$A134,Weekly_Local!$D:$D,"&lt;&gt;")=0,"",SUMIFS(Weekly_Local!$D:$D,Weekly_Local!$U:$U,"2022-23",Weekly_Local!$T:$T,$A134))</f>
        <v>1</v>
      </c>
      <c r="C134" s="5">
        <f>IF(COUNTIFS(Weekly_Local!$U:$U,"2023-24",Weekly_Local!$T:$T,$A134,Weekly_Local!$D:$D,"&lt;&gt;")=0,"",SUMIFS(Weekly_Local!$D:$D,Weekly_Local!$U:$U,"2023-24",Weekly_Local!$T:$T,$A134))</f>
        <v>6</v>
      </c>
      <c r="D134" s="5">
        <f>IF(COUNTIFS(Weekly_Local!$U:$U,"2024-25",Weekly_Local!$T:$T,$A134,Weekly_Local!$D:$D,"&lt;&gt;")=0,"",SUMIFS(Weekly_Local!$D:$D,Weekly_Local!$U:$U,"2024-25",Weekly_Local!$T:$T,$A134))</f>
        <v>0</v>
      </c>
      <c r="E134" s="5">
        <f>IF(COUNTIFS(Weekly_Local!$U:$U,"2025-26",Weekly_Local!$T:$T,$A134,Weekly_Local!$D:$D,"&lt;&gt;")=0,"",SUMIFS(Weekly_Local!$D:$D,Weekly_Local!$U:$U,"2025-26",Weekly_Local!$T:$T,$A134))</f>
        <v>2</v>
      </c>
      <c r="F134" s="5" t="str">
        <f>IF(COUNTIFS(Weekly_Local!$U:$U,"2026-27",Weekly_Local!$T:$T,$A134,Weekly_Local!$D:$D,"&lt;&gt;")=0,"",SUMIFS(Weekly_Local!$D:$D,Weekly_Local!$U:$U,"2026-27",Weekly_Local!$T:$T,$A134))</f>
        <v/>
      </c>
      <c r="G134" s="5" t="str">
        <f>IF(AND($A134=53,DATE(YEAR(Config!$B$3),1,4)-WEEKDAY(DATE(YEAR(Config!$B$3),1,4))+1+364&gt;=DATE(YEAR(Config!$B$3)+1,1,4)-WEEKDAY(DATE(YEAR(Config!$B$3)+1,1,4))+1),"",TEXT(DATE(YEAR(Config!$B$3)+IF($A134&gt;=36,0,1),1,4)-WEEKDAY(DATE(YEAR(Config!$B$3)+IF($A134&gt;=36,0,1),1,4))+1+7*($A134-1)+1,"m/d/yy")&amp;" – "&amp;TEXT(DATE(YEAR(Config!$B$3)+IF($A134&gt;=36,0,1),1,4)-WEEKDAY(DATE(YEAR(Config!$B$3)+IF($A134&gt;=36,0,1),1,4))+1+7*($A134-1)+7,"m/d/yy"))</f>
        <v>12/21/26 – 12/27/26</v>
      </c>
    </row>
    <row r="135" spans="1:7" x14ac:dyDescent="0.2">
      <c r="A135" s="5">
        <v>52</v>
      </c>
      <c r="B135" s="5">
        <f>IF(COUNTIFS(Weekly_Local!$U:$U,"2022-23",Weekly_Local!$T:$T,$A135,Weekly_Local!$D:$D,"&lt;&gt;")=0,"",SUMIFS(Weekly_Local!$D:$D,Weekly_Local!$U:$U,"2022-23",Weekly_Local!$T:$T,$A135))</f>
        <v>0</v>
      </c>
      <c r="C135" s="5">
        <f>IF(COUNTIFS(Weekly_Local!$U:$U,"2023-24",Weekly_Local!$T:$T,$A135,Weekly_Local!$D:$D,"&lt;&gt;")=0,"",SUMIFS(Weekly_Local!$D:$D,Weekly_Local!$U:$U,"2023-24",Weekly_Local!$T:$T,$A135))</f>
        <v>5</v>
      </c>
      <c r="D135" s="5">
        <f>IF(COUNTIFS(Weekly_Local!$U:$U,"2024-25",Weekly_Local!$T:$T,$A135,Weekly_Local!$D:$D,"&lt;&gt;")=0,"",SUMIFS(Weekly_Local!$D:$D,Weekly_Local!$U:$U,"2024-25",Weekly_Local!$T:$T,$A135))</f>
        <v>4</v>
      </c>
      <c r="E135" s="5">
        <f>IF(COUNTIFS(Weekly_Local!$U:$U,"2025-26",Weekly_Local!$T:$T,$A135,Weekly_Local!$D:$D,"&lt;&gt;")=0,"",SUMIFS(Weekly_Local!$D:$D,Weekly_Local!$U:$U,"2025-26",Weekly_Local!$T:$T,$A135))</f>
        <v>1</v>
      </c>
      <c r="F135" s="5" t="str">
        <f>IF(COUNTIFS(Weekly_Local!$U:$U,"2026-27",Weekly_Local!$T:$T,$A135,Weekly_Local!$D:$D,"&lt;&gt;")=0,"",SUMIFS(Weekly_Local!$D:$D,Weekly_Local!$U:$U,"2026-27",Weekly_Local!$T:$T,$A135))</f>
        <v/>
      </c>
      <c r="G135" s="5" t="str">
        <f>IF(AND($A135=53,DATE(YEAR(Config!$B$3),1,4)-WEEKDAY(DATE(YEAR(Config!$B$3),1,4))+1+364&gt;=DATE(YEAR(Config!$B$3)+1,1,4)-WEEKDAY(DATE(YEAR(Config!$B$3)+1,1,4))+1),"",TEXT(DATE(YEAR(Config!$B$3)+IF($A135&gt;=36,0,1),1,4)-WEEKDAY(DATE(YEAR(Config!$B$3)+IF($A135&gt;=36,0,1),1,4))+1+7*($A135-1)+1,"m/d/yy")&amp;" – "&amp;TEXT(DATE(YEAR(Config!$B$3)+IF($A135&gt;=36,0,1),1,4)-WEEKDAY(DATE(YEAR(Config!$B$3)+IF($A135&gt;=36,0,1),1,4))+1+7*($A135-1)+7,"m/d/yy"))</f>
        <v>12/28/26 – 1/3/27</v>
      </c>
    </row>
    <row r="136" spans="1:7" x14ac:dyDescent="0.2">
      <c r="A136" s="5">
        <v>53</v>
      </c>
      <c r="B136" s="5" t="str">
        <f>IF(COUNTIFS(Weekly_Local!$U:$U,"2022-23",Weekly_Local!$T:$T,$A136,Weekly_Local!$D:$D,"&lt;&gt;")=0,"",SUMIFS(Weekly_Local!$D:$D,Weekly_Local!$U:$U,"2022-23",Weekly_Local!$T:$T,$A136))</f>
        <v/>
      </c>
      <c r="C136" s="5" t="str">
        <f>IF(COUNTIFS(Weekly_Local!$U:$U,"2023-24",Weekly_Local!$T:$T,$A136,Weekly_Local!$D:$D,"&lt;&gt;")=0,"",SUMIFS(Weekly_Local!$D:$D,Weekly_Local!$U:$U,"2023-24",Weekly_Local!$T:$T,$A136))</f>
        <v/>
      </c>
      <c r="D136" s="5" t="str">
        <f>IF(COUNTIFS(Weekly_Local!$U:$U,"2024-25",Weekly_Local!$T:$T,$A136,Weekly_Local!$D:$D,"&lt;&gt;")=0,"",SUMIFS(Weekly_Local!$D:$D,Weekly_Local!$U:$U,"2024-25",Weekly_Local!$T:$T,$A136))</f>
        <v/>
      </c>
      <c r="E136" s="5">
        <f>IF(COUNTIFS(Weekly_Local!$U:$U,"2025-26",Weekly_Local!$T:$T,$A136,Weekly_Local!$D:$D,"&lt;&gt;")=0,"",SUMIFS(Weekly_Local!$D:$D,Weekly_Local!$U:$U,"2025-26",Weekly_Local!$T:$T,$A136))</f>
        <v>1</v>
      </c>
      <c r="F136" s="5" t="str">
        <f>IF(COUNTIFS(Weekly_Local!$U:$U,"2026-27",Weekly_Local!$T:$T,$A136,Weekly_Local!$D:$D,"&lt;&gt;")=0,"",SUMIFS(Weekly_Local!$D:$D,Weekly_Local!$U:$U,"2026-27",Weekly_Local!$T:$T,$A136))</f>
        <v/>
      </c>
      <c r="G136" s="5" t="str">
        <f>IF(AND($A136=53,DATE(YEAR(Config!$B$3),1,4)-WEEKDAY(DATE(YEAR(Config!$B$3),1,4))+1+364&gt;=DATE(YEAR(Config!$B$3)+1,1,4)-WEEKDAY(DATE(YEAR(Config!$B$3)+1,1,4))+1),"",TEXT(DATE(YEAR(Config!$B$3)+IF($A136&gt;=36,0,1),1,4)-WEEKDAY(DATE(YEAR(Config!$B$3)+IF($A136&gt;=36,0,1),1,4))+1+7*($A136-1)+1,"m/d/yy")&amp;" – "&amp;TEXT(DATE(YEAR(Config!$B$3)+IF($A136&gt;=36,0,1),1,4)-WEEKDAY(DATE(YEAR(Config!$B$3)+IF($A136&gt;=36,0,1),1,4))+1+7*($A136-1)+7,"m/d/yy"))</f>
        <v/>
      </c>
    </row>
    <row r="137" spans="1:7" x14ac:dyDescent="0.2">
      <c r="A137" s="5">
        <v>1</v>
      </c>
      <c r="B137" s="5">
        <f>IF(COUNTIFS(Weekly_Local!$U:$U,"2022-23",Weekly_Local!$T:$T,$A137,Weekly_Local!$D:$D,"&lt;&gt;")=0,"",SUMIFS(Weekly_Local!$D:$D,Weekly_Local!$U:$U,"2022-23",Weekly_Local!$T:$T,$A137))</f>
        <v>1</v>
      </c>
      <c r="C137" s="5">
        <f>IF(COUNTIFS(Weekly_Local!$U:$U,"2023-24",Weekly_Local!$T:$T,$A137,Weekly_Local!$D:$D,"&lt;&gt;")=0,"",SUMIFS(Weekly_Local!$D:$D,Weekly_Local!$U:$U,"2023-24",Weekly_Local!$T:$T,$A137))</f>
        <v>4</v>
      </c>
      <c r="D137" s="5">
        <f>IF(COUNTIFS(Weekly_Local!$U:$U,"2024-25",Weekly_Local!$T:$T,$A137,Weekly_Local!$D:$D,"&lt;&gt;")=0,"",SUMIFS(Weekly_Local!$D:$D,Weekly_Local!$U:$U,"2024-25",Weekly_Local!$T:$T,$A137))</f>
        <v>4</v>
      </c>
      <c r="E137" s="5">
        <f>IF(COUNTIFS(Weekly_Local!$U:$U,"2025-26",Weekly_Local!$T:$T,$A137,Weekly_Local!$D:$D,"&lt;&gt;")=0,"",SUMIFS(Weekly_Local!$D:$D,Weekly_Local!$U:$U,"2025-26",Weekly_Local!$T:$T,$A137))</f>
        <v>2</v>
      </c>
      <c r="F137" s="5" t="str">
        <f>IF(COUNTIFS(Weekly_Local!$U:$U,"2026-27",Weekly_Local!$T:$T,$A137,Weekly_Local!$D:$D,"&lt;&gt;")=0,"",SUMIFS(Weekly_Local!$D:$D,Weekly_Local!$U:$U,"2026-27",Weekly_Local!$T:$T,$A137))</f>
        <v/>
      </c>
      <c r="G137" s="5" t="str">
        <f>IF(AND($A137=53,DATE(YEAR(Config!$B$3),1,4)-WEEKDAY(DATE(YEAR(Config!$B$3),1,4))+1+364&gt;=DATE(YEAR(Config!$B$3)+1,1,4)-WEEKDAY(DATE(YEAR(Config!$B$3)+1,1,4))+1),"",TEXT(DATE(YEAR(Config!$B$3)+IF($A137&gt;=36,0,1),1,4)-WEEKDAY(DATE(YEAR(Config!$B$3)+IF($A137&gt;=36,0,1),1,4))+1+7*($A137-1)+1,"m/d/yy")&amp;" – "&amp;TEXT(DATE(YEAR(Config!$B$3)+IF($A137&gt;=36,0,1),1,4)-WEEKDAY(DATE(YEAR(Config!$B$3)+IF($A137&gt;=36,0,1),1,4))+1+7*($A137-1)+7,"m/d/yy"))</f>
        <v>1/4/27 – 1/10/27</v>
      </c>
    </row>
    <row r="138" spans="1:7" x14ac:dyDescent="0.2">
      <c r="A138" s="5">
        <v>2</v>
      </c>
      <c r="B138" s="5">
        <f>IF(COUNTIFS(Weekly_Local!$U:$U,"2022-23",Weekly_Local!$T:$T,$A138,Weekly_Local!$D:$D,"&lt;&gt;")=0,"",SUMIFS(Weekly_Local!$D:$D,Weekly_Local!$U:$U,"2022-23",Weekly_Local!$T:$T,$A138))</f>
        <v>0</v>
      </c>
      <c r="C138" s="5">
        <f>IF(COUNTIFS(Weekly_Local!$U:$U,"2023-24",Weekly_Local!$T:$T,$A138,Weekly_Local!$D:$D,"&lt;&gt;")=0,"",SUMIFS(Weekly_Local!$D:$D,Weekly_Local!$U:$U,"2023-24",Weekly_Local!$T:$T,$A138))</f>
        <v>10</v>
      </c>
      <c r="D138" s="5">
        <f>IF(COUNTIFS(Weekly_Local!$U:$U,"2024-25",Weekly_Local!$T:$T,$A138,Weekly_Local!$D:$D,"&lt;&gt;")=0,"",SUMIFS(Weekly_Local!$D:$D,Weekly_Local!$U:$U,"2024-25",Weekly_Local!$T:$T,$A138))</f>
        <v>1</v>
      </c>
      <c r="E138" s="5">
        <f>IF(COUNTIFS(Weekly_Local!$U:$U,"2025-26",Weekly_Local!$T:$T,$A138,Weekly_Local!$D:$D,"&lt;&gt;")=0,"",SUMIFS(Weekly_Local!$D:$D,Weekly_Local!$U:$U,"2025-26",Weekly_Local!$T:$T,$A138))</f>
        <v>0</v>
      </c>
      <c r="F138" s="5" t="str">
        <f>IF(COUNTIFS(Weekly_Local!$U:$U,"2026-27",Weekly_Local!$T:$T,$A138,Weekly_Local!$D:$D,"&lt;&gt;")=0,"",SUMIFS(Weekly_Local!$D:$D,Weekly_Local!$U:$U,"2026-27",Weekly_Local!$T:$T,$A138))</f>
        <v/>
      </c>
      <c r="G138" s="5" t="str">
        <f>IF(AND($A138=53,DATE(YEAR(Config!$B$3),1,4)-WEEKDAY(DATE(YEAR(Config!$B$3),1,4))+1+364&gt;=DATE(YEAR(Config!$B$3)+1,1,4)-WEEKDAY(DATE(YEAR(Config!$B$3)+1,1,4))+1),"",TEXT(DATE(YEAR(Config!$B$3)+IF($A138&gt;=36,0,1),1,4)-WEEKDAY(DATE(YEAR(Config!$B$3)+IF($A138&gt;=36,0,1),1,4))+1+7*($A138-1)+1,"m/d/yy")&amp;" – "&amp;TEXT(DATE(YEAR(Config!$B$3)+IF($A138&gt;=36,0,1),1,4)-WEEKDAY(DATE(YEAR(Config!$B$3)+IF($A138&gt;=36,0,1),1,4))+1+7*($A138-1)+7,"m/d/yy"))</f>
        <v>1/11/27 – 1/17/27</v>
      </c>
    </row>
    <row r="139" spans="1:7" x14ac:dyDescent="0.2">
      <c r="A139" s="5">
        <v>3</v>
      </c>
      <c r="B139" s="5">
        <f>IF(COUNTIFS(Weekly_Local!$U:$U,"2022-23",Weekly_Local!$T:$T,$A139,Weekly_Local!$D:$D,"&lt;&gt;")=0,"",SUMIFS(Weekly_Local!$D:$D,Weekly_Local!$U:$U,"2022-23",Weekly_Local!$T:$T,$A139))</f>
        <v>0</v>
      </c>
      <c r="C139" s="5">
        <f>IF(COUNTIFS(Weekly_Local!$U:$U,"2023-24",Weekly_Local!$T:$T,$A139,Weekly_Local!$D:$D,"&lt;&gt;")=0,"",SUMIFS(Weekly_Local!$D:$D,Weekly_Local!$U:$U,"2023-24",Weekly_Local!$T:$T,$A139))</f>
        <v>10</v>
      </c>
      <c r="D139" s="5">
        <f>IF(COUNTIFS(Weekly_Local!$U:$U,"2024-25",Weekly_Local!$T:$T,$A139,Weekly_Local!$D:$D,"&lt;&gt;")=0,"",SUMIFS(Weekly_Local!$D:$D,Weekly_Local!$U:$U,"2024-25",Weekly_Local!$T:$T,$A139))</f>
        <v>1</v>
      </c>
      <c r="E139" s="5">
        <f>IF(COUNTIFS(Weekly_Local!$U:$U,"2025-26",Weekly_Local!$T:$T,$A139,Weekly_Local!$D:$D,"&lt;&gt;")=0,"",SUMIFS(Weekly_Local!$D:$D,Weekly_Local!$U:$U,"2025-26",Weekly_Local!$T:$T,$A139))</f>
        <v>4</v>
      </c>
      <c r="F139" s="5" t="str">
        <f>IF(COUNTIFS(Weekly_Local!$U:$U,"2026-27",Weekly_Local!$T:$T,$A139,Weekly_Local!$D:$D,"&lt;&gt;")=0,"",SUMIFS(Weekly_Local!$D:$D,Weekly_Local!$U:$U,"2026-27",Weekly_Local!$T:$T,$A139))</f>
        <v/>
      </c>
      <c r="G139" s="5" t="str">
        <f>IF(AND($A139=53,DATE(YEAR(Config!$B$3),1,4)-WEEKDAY(DATE(YEAR(Config!$B$3),1,4))+1+364&gt;=DATE(YEAR(Config!$B$3)+1,1,4)-WEEKDAY(DATE(YEAR(Config!$B$3)+1,1,4))+1),"",TEXT(DATE(YEAR(Config!$B$3)+IF($A139&gt;=36,0,1),1,4)-WEEKDAY(DATE(YEAR(Config!$B$3)+IF($A139&gt;=36,0,1),1,4))+1+7*($A139-1)+1,"m/d/yy")&amp;" – "&amp;TEXT(DATE(YEAR(Config!$B$3)+IF($A139&gt;=36,0,1),1,4)-WEEKDAY(DATE(YEAR(Config!$B$3)+IF($A139&gt;=36,0,1),1,4))+1+7*($A139-1)+7,"m/d/yy"))</f>
        <v>1/18/27 – 1/24/27</v>
      </c>
    </row>
    <row r="140" spans="1:7" x14ac:dyDescent="0.2">
      <c r="A140" s="5">
        <v>4</v>
      </c>
      <c r="B140" s="5">
        <f>IF(COUNTIFS(Weekly_Local!$U:$U,"2022-23",Weekly_Local!$T:$T,$A140,Weekly_Local!$D:$D,"&lt;&gt;")=0,"",SUMIFS(Weekly_Local!$D:$D,Weekly_Local!$U:$U,"2022-23",Weekly_Local!$T:$T,$A140))</f>
        <v>0</v>
      </c>
      <c r="C140" s="5">
        <f>IF(COUNTIFS(Weekly_Local!$U:$U,"2023-24",Weekly_Local!$T:$T,$A140,Weekly_Local!$D:$D,"&lt;&gt;")=0,"",SUMIFS(Weekly_Local!$D:$D,Weekly_Local!$U:$U,"2023-24",Weekly_Local!$T:$T,$A140))</f>
        <v>5</v>
      </c>
      <c r="D140" s="5">
        <f>IF(COUNTIFS(Weekly_Local!$U:$U,"2024-25",Weekly_Local!$T:$T,$A140,Weekly_Local!$D:$D,"&lt;&gt;")=0,"",SUMIFS(Weekly_Local!$D:$D,Weekly_Local!$U:$U,"2024-25",Weekly_Local!$T:$T,$A140))</f>
        <v>6</v>
      </c>
      <c r="E140" s="5">
        <f>IF(COUNTIFS(Weekly_Local!$U:$U,"2025-26",Weekly_Local!$T:$T,$A140,Weekly_Local!$D:$D,"&lt;&gt;")=0,"",SUMIFS(Weekly_Local!$D:$D,Weekly_Local!$U:$U,"2025-26",Weekly_Local!$T:$T,$A140))</f>
        <v>1</v>
      </c>
      <c r="F140" s="5" t="str">
        <f>IF(COUNTIFS(Weekly_Local!$U:$U,"2026-27",Weekly_Local!$T:$T,$A140,Weekly_Local!$D:$D,"&lt;&gt;")=0,"",SUMIFS(Weekly_Local!$D:$D,Weekly_Local!$U:$U,"2026-27",Weekly_Local!$T:$T,$A140))</f>
        <v/>
      </c>
      <c r="G140" s="5" t="str">
        <f>IF(AND($A140=53,DATE(YEAR(Config!$B$3),1,4)-WEEKDAY(DATE(YEAR(Config!$B$3),1,4))+1+364&gt;=DATE(YEAR(Config!$B$3)+1,1,4)-WEEKDAY(DATE(YEAR(Config!$B$3)+1,1,4))+1),"",TEXT(DATE(YEAR(Config!$B$3)+IF($A140&gt;=36,0,1),1,4)-WEEKDAY(DATE(YEAR(Config!$B$3)+IF($A140&gt;=36,0,1),1,4))+1+7*($A140-1)+1,"m/d/yy")&amp;" – "&amp;TEXT(DATE(YEAR(Config!$B$3)+IF($A140&gt;=36,0,1),1,4)-WEEKDAY(DATE(YEAR(Config!$B$3)+IF($A140&gt;=36,0,1),1,4))+1+7*($A140-1)+7,"m/d/yy"))</f>
        <v>1/25/27 – 1/31/27</v>
      </c>
    </row>
    <row r="141" spans="1:7" x14ac:dyDescent="0.2">
      <c r="A141" s="5">
        <v>5</v>
      </c>
      <c r="B141" s="5">
        <f>IF(COUNTIFS(Weekly_Local!$U:$U,"2022-23",Weekly_Local!$T:$T,$A141,Weekly_Local!$D:$D,"&lt;&gt;")=0,"",SUMIFS(Weekly_Local!$D:$D,Weekly_Local!$U:$U,"2022-23",Weekly_Local!$T:$T,$A141))</f>
        <v>0</v>
      </c>
      <c r="C141" s="5">
        <f>IF(COUNTIFS(Weekly_Local!$U:$U,"2023-24",Weekly_Local!$T:$T,$A141,Weekly_Local!$D:$D,"&lt;&gt;")=0,"",SUMIFS(Weekly_Local!$D:$D,Weekly_Local!$U:$U,"2023-24",Weekly_Local!$T:$T,$A141))</f>
        <v>4</v>
      </c>
      <c r="D141" s="5">
        <f>IF(COUNTIFS(Weekly_Local!$U:$U,"2024-25",Weekly_Local!$T:$T,$A141,Weekly_Local!$D:$D,"&lt;&gt;")=0,"",SUMIFS(Weekly_Local!$D:$D,Weekly_Local!$U:$U,"2024-25",Weekly_Local!$T:$T,$A141))</f>
        <v>12</v>
      </c>
      <c r="E141" s="5">
        <f>IF(COUNTIFS(Weekly_Local!$U:$U,"2025-26",Weekly_Local!$T:$T,$A141,Weekly_Local!$D:$D,"&lt;&gt;")=0,"",SUMIFS(Weekly_Local!$D:$D,Weekly_Local!$U:$U,"2025-26",Weekly_Local!$T:$T,$A141))</f>
        <v>6</v>
      </c>
      <c r="F141" s="5" t="str">
        <f>IF(COUNTIFS(Weekly_Local!$U:$U,"2026-27",Weekly_Local!$T:$T,$A141,Weekly_Local!$D:$D,"&lt;&gt;")=0,"",SUMIFS(Weekly_Local!$D:$D,Weekly_Local!$U:$U,"2026-27",Weekly_Local!$T:$T,$A141))</f>
        <v/>
      </c>
      <c r="G141" s="5" t="str">
        <f>IF(AND($A141=53,DATE(YEAR(Config!$B$3),1,4)-WEEKDAY(DATE(YEAR(Config!$B$3),1,4))+1+364&gt;=DATE(YEAR(Config!$B$3)+1,1,4)-WEEKDAY(DATE(YEAR(Config!$B$3)+1,1,4))+1),"",TEXT(DATE(YEAR(Config!$B$3)+IF($A141&gt;=36,0,1),1,4)-WEEKDAY(DATE(YEAR(Config!$B$3)+IF($A141&gt;=36,0,1),1,4))+1+7*($A141-1)+1,"m/d/yy")&amp;" – "&amp;TEXT(DATE(YEAR(Config!$B$3)+IF($A141&gt;=36,0,1),1,4)-WEEKDAY(DATE(YEAR(Config!$B$3)+IF($A141&gt;=36,0,1),1,4))+1+7*($A141-1)+7,"m/d/yy"))</f>
        <v>2/1/27 – 2/7/27</v>
      </c>
    </row>
    <row r="142" spans="1:7" x14ac:dyDescent="0.2">
      <c r="A142" s="5">
        <v>6</v>
      </c>
      <c r="B142" s="5">
        <f>IF(COUNTIFS(Weekly_Local!$U:$U,"2022-23",Weekly_Local!$T:$T,$A142,Weekly_Local!$D:$D,"&lt;&gt;")=0,"",SUMIFS(Weekly_Local!$D:$D,Weekly_Local!$U:$U,"2022-23",Weekly_Local!$T:$T,$A142))</f>
        <v>0</v>
      </c>
      <c r="C142" s="5">
        <f>IF(COUNTIFS(Weekly_Local!$U:$U,"2023-24",Weekly_Local!$T:$T,$A142,Weekly_Local!$D:$D,"&lt;&gt;")=0,"",SUMIFS(Weekly_Local!$D:$D,Weekly_Local!$U:$U,"2023-24",Weekly_Local!$T:$T,$A142))</f>
        <v>5</v>
      </c>
      <c r="D142" s="5">
        <f>IF(COUNTIFS(Weekly_Local!$U:$U,"2024-25",Weekly_Local!$T:$T,$A142,Weekly_Local!$D:$D,"&lt;&gt;")=0,"",SUMIFS(Weekly_Local!$D:$D,Weekly_Local!$U:$U,"2024-25",Weekly_Local!$T:$T,$A142))</f>
        <v>7</v>
      </c>
      <c r="E142" s="5">
        <f>IF(COUNTIFS(Weekly_Local!$U:$U,"2025-26",Weekly_Local!$T:$T,$A142,Weekly_Local!$D:$D,"&lt;&gt;")=0,"",SUMIFS(Weekly_Local!$D:$D,Weekly_Local!$U:$U,"2025-26",Weekly_Local!$T:$T,$A142))</f>
        <v>10</v>
      </c>
      <c r="F142" s="5" t="str">
        <f>IF(COUNTIFS(Weekly_Local!$U:$U,"2026-27",Weekly_Local!$T:$T,$A142,Weekly_Local!$D:$D,"&lt;&gt;")=0,"",SUMIFS(Weekly_Local!$D:$D,Weekly_Local!$U:$U,"2026-27",Weekly_Local!$T:$T,$A142))</f>
        <v/>
      </c>
      <c r="G142" s="5" t="str">
        <f>IF(AND($A142=53,DATE(YEAR(Config!$B$3),1,4)-WEEKDAY(DATE(YEAR(Config!$B$3),1,4))+1+364&gt;=DATE(YEAR(Config!$B$3)+1,1,4)-WEEKDAY(DATE(YEAR(Config!$B$3)+1,1,4))+1),"",TEXT(DATE(YEAR(Config!$B$3)+IF($A142&gt;=36,0,1),1,4)-WEEKDAY(DATE(YEAR(Config!$B$3)+IF($A142&gt;=36,0,1),1,4))+1+7*($A142-1)+1,"m/d/yy")&amp;" – "&amp;TEXT(DATE(YEAR(Config!$B$3)+IF($A142&gt;=36,0,1),1,4)-WEEKDAY(DATE(YEAR(Config!$B$3)+IF($A142&gt;=36,0,1),1,4))+1+7*($A142-1)+7,"m/d/yy"))</f>
        <v>2/8/27 – 2/14/27</v>
      </c>
    </row>
    <row r="143" spans="1:7" x14ac:dyDescent="0.2">
      <c r="A143" s="5">
        <v>7</v>
      </c>
      <c r="B143" s="5">
        <f>IF(COUNTIFS(Weekly_Local!$U:$U,"2022-23",Weekly_Local!$T:$T,$A143,Weekly_Local!$D:$D,"&lt;&gt;")=0,"",SUMIFS(Weekly_Local!$D:$D,Weekly_Local!$U:$U,"2022-23",Weekly_Local!$T:$T,$A143))</f>
        <v>0</v>
      </c>
      <c r="C143" s="5">
        <f>IF(COUNTIFS(Weekly_Local!$U:$U,"2023-24",Weekly_Local!$T:$T,$A143,Weekly_Local!$D:$D,"&lt;&gt;")=0,"",SUMIFS(Weekly_Local!$D:$D,Weekly_Local!$U:$U,"2023-24",Weekly_Local!$T:$T,$A143))</f>
        <v>1</v>
      </c>
      <c r="D143" s="5">
        <f>IF(COUNTIFS(Weekly_Local!$U:$U,"2024-25",Weekly_Local!$T:$T,$A143,Weekly_Local!$D:$D,"&lt;&gt;")=0,"",SUMIFS(Weekly_Local!$D:$D,Weekly_Local!$U:$U,"2024-25",Weekly_Local!$T:$T,$A143))</f>
        <v>2</v>
      </c>
      <c r="E143" s="5">
        <f>IF(COUNTIFS(Weekly_Local!$U:$U,"2025-26",Weekly_Local!$T:$T,$A143,Weekly_Local!$D:$D,"&lt;&gt;")=0,"",SUMIFS(Weekly_Local!$D:$D,Weekly_Local!$U:$U,"2025-26",Weekly_Local!$T:$T,$A143))</f>
        <v>5</v>
      </c>
      <c r="F143" s="5" t="str">
        <f>IF(COUNTIFS(Weekly_Local!$U:$U,"2026-27",Weekly_Local!$T:$T,$A143,Weekly_Local!$D:$D,"&lt;&gt;")=0,"",SUMIFS(Weekly_Local!$D:$D,Weekly_Local!$U:$U,"2026-27",Weekly_Local!$T:$T,$A143))</f>
        <v/>
      </c>
      <c r="G143" s="5" t="str">
        <f>IF(AND($A143=53,DATE(YEAR(Config!$B$3),1,4)-WEEKDAY(DATE(YEAR(Config!$B$3),1,4))+1+364&gt;=DATE(YEAR(Config!$B$3)+1,1,4)-WEEKDAY(DATE(YEAR(Config!$B$3)+1,1,4))+1),"",TEXT(DATE(YEAR(Config!$B$3)+IF($A143&gt;=36,0,1),1,4)-WEEKDAY(DATE(YEAR(Config!$B$3)+IF($A143&gt;=36,0,1),1,4))+1+7*($A143-1)+1,"m/d/yy")&amp;" – "&amp;TEXT(DATE(YEAR(Config!$B$3)+IF($A143&gt;=36,0,1),1,4)-WEEKDAY(DATE(YEAR(Config!$B$3)+IF($A143&gt;=36,0,1),1,4))+1+7*($A143-1)+7,"m/d/yy"))</f>
        <v>2/15/27 – 2/21/27</v>
      </c>
    </row>
    <row r="144" spans="1:7" x14ac:dyDescent="0.2">
      <c r="A144" s="5">
        <v>8</v>
      </c>
      <c r="B144" s="5">
        <f>IF(COUNTIFS(Weekly_Local!$U:$U,"2022-23",Weekly_Local!$T:$T,$A144,Weekly_Local!$D:$D,"&lt;&gt;")=0,"",SUMIFS(Weekly_Local!$D:$D,Weekly_Local!$U:$U,"2022-23",Weekly_Local!$T:$T,$A144))</f>
        <v>0</v>
      </c>
      <c r="C144" s="5">
        <f>IF(COUNTIFS(Weekly_Local!$U:$U,"2023-24",Weekly_Local!$T:$T,$A144,Weekly_Local!$D:$D,"&lt;&gt;")=0,"",SUMIFS(Weekly_Local!$D:$D,Weekly_Local!$U:$U,"2023-24",Weekly_Local!$T:$T,$A144))</f>
        <v>1</v>
      </c>
      <c r="D144" s="5">
        <f>IF(COUNTIFS(Weekly_Local!$U:$U,"2024-25",Weekly_Local!$T:$T,$A144,Weekly_Local!$D:$D,"&lt;&gt;")=0,"",SUMIFS(Weekly_Local!$D:$D,Weekly_Local!$U:$U,"2024-25",Weekly_Local!$T:$T,$A144))</f>
        <v>11</v>
      </c>
      <c r="E144" s="5">
        <f>IF(COUNTIFS(Weekly_Local!$U:$U,"2025-26",Weekly_Local!$T:$T,$A144,Weekly_Local!$D:$D,"&lt;&gt;")=0,"",SUMIFS(Weekly_Local!$D:$D,Weekly_Local!$U:$U,"2025-26",Weekly_Local!$T:$T,$A144))</f>
        <v>4</v>
      </c>
      <c r="F144" s="5" t="str">
        <f>IF(COUNTIFS(Weekly_Local!$U:$U,"2026-27",Weekly_Local!$T:$T,$A144,Weekly_Local!$D:$D,"&lt;&gt;")=0,"",SUMIFS(Weekly_Local!$D:$D,Weekly_Local!$U:$U,"2026-27",Weekly_Local!$T:$T,$A144))</f>
        <v/>
      </c>
      <c r="G144" s="5" t="str">
        <f>IF(AND($A144=53,DATE(YEAR(Config!$B$3),1,4)-WEEKDAY(DATE(YEAR(Config!$B$3),1,4))+1+364&gt;=DATE(YEAR(Config!$B$3)+1,1,4)-WEEKDAY(DATE(YEAR(Config!$B$3)+1,1,4))+1),"",TEXT(DATE(YEAR(Config!$B$3)+IF($A144&gt;=36,0,1),1,4)-WEEKDAY(DATE(YEAR(Config!$B$3)+IF($A144&gt;=36,0,1),1,4))+1+7*($A144-1)+1,"m/d/yy")&amp;" – "&amp;TEXT(DATE(YEAR(Config!$B$3)+IF($A144&gt;=36,0,1),1,4)-WEEKDAY(DATE(YEAR(Config!$B$3)+IF($A144&gt;=36,0,1),1,4))+1+7*($A144-1)+7,"m/d/yy"))</f>
        <v>2/22/27 – 2/28/27</v>
      </c>
    </row>
    <row r="145" spans="1:7" x14ac:dyDescent="0.2">
      <c r="A145" s="5">
        <v>9</v>
      </c>
      <c r="B145" s="5">
        <f>IF(COUNTIFS(Weekly_Local!$U:$U,"2022-23",Weekly_Local!$T:$T,$A145,Weekly_Local!$D:$D,"&lt;&gt;")=0,"",SUMIFS(Weekly_Local!$D:$D,Weekly_Local!$U:$U,"2022-23",Weekly_Local!$T:$T,$A145))</f>
        <v>0</v>
      </c>
      <c r="C145" s="5">
        <f>IF(COUNTIFS(Weekly_Local!$U:$U,"2023-24",Weekly_Local!$T:$T,$A145,Weekly_Local!$D:$D,"&lt;&gt;")=0,"",SUMIFS(Weekly_Local!$D:$D,Weekly_Local!$U:$U,"2023-24",Weekly_Local!$T:$T,$A145))</f>
        <v>2</v>
      </c>
      <c r="D145" s="5">
        <f>IF(COUNTIFS(Weekly_Local!$U:$U,"2024-25",Weekly_Local!$T:$T,$A145,Weekly_Local!$D:$D,"&lt;&gt;")=0,"",SUMIFS(Weekly_Local!$D:$D,Weekly_Local!$U:$U,"2024-25",Weekly_Local!$T:$T,$A145))</f>
        <v>3</v>
      </c>
      <c r="E145" s="5">
        <f>IF(COUNTIFS(Weekly_Local!$U:$U,"2025-26",Weekly_Local!$T:$T,$A145,Weekly_Local!$D:$D,"&lt;&gt;")=0,"",SUMIFS(Weekly_Local!$D:$D,Weekly_Local!$U:$U,"2025-26",Weekly_Local!$T:$T,$A145))</f>
        <v>6</v>
      </c>
      <c r="F145" s="5" t="str">
        <f>IF(COUNTIFS(Weekly_Local!$U:$U,"2026-27",Weekly_Local!$T:$T,$A145,Weekly_Local!$D:$D,"&lt;&gt;")=0,"",SUMIFS(Weekly_Local!$D:$D,Weekly_Local!$U:$U,"2026-27",Weekly_Local!$T:$T,$A145))</f>
        <v/>
      </c>
      <c r="G145" s="5" t="str">
        <f>IF(AND($A145=53,DATE(YEAR(Config!$B$3),1,4)-WEEKDAY(DATE(YEAR(Config!$B$3),1,4))+1+364&gt;=DATE(YEAR(Config!$B$3)+1,1,4)-WEEKDAY(DATE(YEAR(Config!$B$3)+1,1,4))+1),"",TEXT(DATE(YEAR(Config!$B$3)+IF($A145&gt;=36,0,1),1,4)-WEEKDAY(DATE(YEAR(Config!$B$3)+IF($A145&gt;=36,0,1),1,4))+1+7*($A145-1)+1,"m/d/yy")&amp;" – "&amp;TEXT(DATE(YEAR(Config!$B$3)+IF($A145&gt;=36,0,1),1,4)-WEEKDAY(DATE(YEAR(Config!$B$3)+IF($A145&gt;=36,0,1),1,4))+1+7*($A145-1)+7,"m/d/yy"))</f>
        <v>3/1/27 – 3/7/27</v>
      </c>
    </row>
    <row r="146" spans="1:7" x14ac:dyDescent="0.2">
      <c r="A146" s="5">
        <v>10</v>
      </c>
      <c r="B146" s="5">
        <f>IF(COUNTIFS(Weekly_Local!$U:$U,"2022-23",Weekly_Local!$T:$T,$A146,Weekly_Local!$D:$D,"&lt;&gt;")=0,"",SUMIFS(Weekly_Local!$D:$D,Weekly_Local!$U:$U,"2022-23",Weekly_Local!$T:$T,$A146))</f>
        <v>0</v>
      </c>
      <c r="C146" s="5">
        <f>IF(COUNTIFS(Weekly_Local!$U:$U,"2023-24",Weekly_Local!$T:$T,$A146,Weekly_Local!$D:$D,"&lt;&gt;")=0,"",SUMIFS(Weekly_Local!$D:$D,Weekly_Local!$U:$U,"2023-24",Weekly_Local!$T:$T,$A146))</f>
        <v>0</v>
      </c>
      <c r="D146" s="5">
        <f>IF(COUNTIFS(Weekly_Local!$U:$U,"2024-25",Weekly_Local!$T:$T,$A146,Weekly_Local!$D:$D,"&lt;&gt;")=0,"",SUMIFS(Weekly_Local!$D:$D,Weekly_Local!$U:$U,"2024-25",Weekly_Local!$T:$T,$A146))</f>
        <v>8</v>
      </c>
      <c r="E146" s="5">
        <f>IF(COUNTIFS(Weekly_Local!$U:$U,"2025-26",Weekly_Local!$T:$T,$A146,Weekly_Local!$D:$D,"&lt;&gt;")=0,"",SUMIFS(Weekly_Local!$D:$D,Weekly_Local!$U:$U,"2025-26",Weekly_Local!$T:$T,$A146))</f>
        <v>0</v>
      </c>
      <c r="F146" s="5" t="str">
        <f>IF(COUNTIFS(Weekly_Local!$U:$U,"2026-27",Weekly_Local!$T:$T,$A146,Weekly_Local!$D:$D,"&lt;&gt;")=0,"",SUMIFS(Weekly_Local!$D:$D,Weekly_Local!$U:$U,"2026-27",Weekly_Local!$T:$T,$A146))</f>
        <v/>
      </c>
      <c r="G146" s="5" t="str">
        <f>IF(AND($A146=53,DATE(YEAR(Config!$B$3),1,4)-WEEKDAY(DATE(YEAR(Config!$B$3),1,4))+1+364&gt;=DATE(YEAR(Config!$B$3)+1,1,4)-WEEKDAY(DATE(YEAR(Config!$B$3)+1,1,4))+1),"",TEXT(DATE(YEAR(Config!$B$3)+IF($A146&gt;=36,0,1),1,4)-WEEKDAY(DATE(YEAR(Config!$B$3)+IF($A146&gt;=36,0,1),1,4))+1+7*($A146-1)+1,"m/d/yy")&amp;" – "&amp;TEXT(DATE(YEAR(Config!$B$3)+IF($A146&gt;=36,0,1),1,4)-WEEKDAY(DATE(YEAR(Config!$B$3)+IF($A146&gt;=36,0,1),1,4))+1+7*($A146-1)+7,"m/d/yy"))</f>
        <v>3/8/27 – 3/14/27</v>
      </c>
    </row>
    <row r="147" spans="1:7" x14ac:dyDescent="0.2">
      <c r="A147" s="5">
        <v>11</v>
      </c>
      <c r="B147" s="5">
        <f>IF(COUNTIFS(Weekly_Local!$U:$U,"2022-23",Weekly_Local!$T:$T,$A147,Weekly_Local!$D:$D,"&lt;&gt;")=0,"",SUMIFS(Weekly_Local!$D:$D,Weekly_Local!$U:$U,"2022-23",Weekly_Local!$T:$T,$A147))</f>
        <v>0</v>
      </c>
      <c r="C147" s="5">
        <f>IF(COUNTIFS(Weekly_Local!$U:$U,"2023-24",Weekly_Local!$T:$T,$A147,Weekly_Local!$D:$D,"&lt;&gt;")=0,"",SUMIFS(Weekly_Local!$D:$D,Weekly_Local!$U:$U,"2023-24",Weekly_Local!$T:$T,$A147))</f>
        <v>1</v>
      </c>
      <c r="D147" s="5">
        <f>IF(COUNTIFS(Weekly_Local!$U:$U,"2024-25",Weekly_Local!$T:$T,$A147,Weekly_Local!$D:$D,"&lt;&gt;")=0,"",SUMIFS(Weekly_Local!$D:$D,Weekly_Local!$U:$U,"2024-25",Weekly_Local!$T:$T,$A147))</f>
        <v>2</v>
      </c>
      <c r="E147" s="5">
        <f>IF(COUNTIFS(Weekly_Local!$U:$U,"2025-26",Weekly_Local!$T:$T,$A147,Weekly_Local!$D:$D,"&lt;&gt;")=0,"",SUMIFS(Weekly_Local!$D:$D,Weekly_Local!$U:$U,"2025-26",Weekly_Local!$T:$T,$A147))</f>
        <v>2</v>
      </c>
      <c r="F147" s="5" t="str">
        <f>IF(COUNTIFS(Weekly_Local!$U:$U,"2026-27",Weekly_Local!$T:$T,$A147,Weekly_Local!$D:$D,"&lt;&gt;")=0,"",SUMIFS(Weekly_Local!$D:$D,Weekly_Local!$U:$U,"2026-27",Weekly_Local!$T:$T,$A147))</f>
        <v/>
      </c>
      <c r="G147" s="5" t="str">
        <f>IF(AND($A147=53,DATE(YEAR(Config!$B$3),1,4)-WEEKDAY(DATE(YEAR(Config!$B$3),1,4))+1+364&gt;=DATE(YEAR(Config!$B$3)+1,1,4)-WEEKDAY(DATE(YEAR(Config!$B$3)+1,1,4))+1),"",TEXT(DATE(YEAR(Config!$B$3)+IF($A147&gt;=36,0,1),1,4)-WEEKDAY(DATE(YEAR(Config!$B$3)+IF($A147&gt;=36,0,1),1,4))+1+7*($A147-1)+1,"m/d/yy")&amp;" – "&amp;TEXT(DATE(YEAR(Config!$B$3)+IF($A147&gt;=36,0,1),1,4)-WEEKDAY(DATE(YEAR(Config!$B$3)+IF($A147&gt;=36,0,1),1,4))+1+7*($A147-1)+7,"m/d/yy"))</f>
        <v>3/15/27 – 3/21/27</v>
      </c>
    </row>
    <row r="148" spans="1:7" x14ac:dyDescent="0.2">
      <c r="A148" s="5">
        <v>12</v>
      </c>
      <c r="B148" s="5">
        <f>IF(COUNTIFS(Weekly_Local!$U:$U,"2022-23",Weekly_Local!$T:$T,$A148,Weekly_Local!$D:$D,"&lt;&gt;")=0,"",SUMIFS(Weekly_Local!$D:$D,Weekly_Local!$U:$U,"2022-23",Weekly_Local!$T:$T,$A148))</f>
        <v>0</v>
      </c>
      <c r="C148" s="5">
        <f>IF(COUNTIFS(Weekly_Local!$U:$U,"2023-24",Weekly_Local!$T:$T,$A148,Weekly_Local!$D:$D,"&lt;&gt;")=0,"",SUMIFS(Weekly_Local!$D:$D,Weekly_Local!$U:$U,"2023-24",Weekly_Local!$T:$T,$A148))</f>
        <v>2</v>
      </c>
      <c r="D148" s="5">
        <f>IF(COUNTIFS(Weekly_Local!$U:$U,"2024-25",Weekly_Local!$T:$T,$A148,Weekly_Local!$D:$D,"&lt;&gt;")=0,"",SUMIFS(Weekly_Local!$D:$D,Weekly_Local!$U:$U,"2024-25",Weekly_Local!$T:$T,$A148))</f>
        <v>2</v>
      </c>
      <c r="E148" s="5">
        <f>IF(COUNTIFS(Weekly_Local!$U:$U,"2025-26",Weekly_Local!$T:$T,$A148,Weekly_Local!$D:$D,"&lt;&gt;")=0,"",SUMIFS(Weekly_Local!$D:$D,Weekly_Local!$U:$U,"2025-26",Weekly_Local!$T:$T,$A148))</f>
        <v>1</v>
      </c>
      <c r="F148" s="5" t="str">
        <f>IF(COUNTIFS(Weekly_Local!$U:$U,"2026-27",Weekly_Local!$T:$T,$A148,Weekly_Local!$D:$D,"&lt;&gt;")=0,"",SUMIFS(Weekly_Local!$D:$D,Weekly_Local!$U:$U,"2026-27",Weekly_Local!$T:$T,$A148))</f>
        <v/>
      </c>
      <c r="G148" s="5" t="str">
        <f>IF(AND($A148=53,DATE(YEAR(Config!$B$3),1,4)-WEEKDAY(DATE(YEAR(Config!$B$3),1,4))+1+364&gt;=DATE(YEAR(Config!$B$3)+1,1,4)-WEEKDAY(DATE(YEAR(Config!$B$3)+1,1,4))+1),"",TEXT(DATE(YEAR(Config!$B$3)+IF($A148&gt;=36,0,1),1,4)-WEEKDAY(DATE(YEAR(Config!$B$3)+IF($A148&gt;=36,0,1),1,4))+1+7*($A148-1)+1,"m/d/yy")&amp;" – "&amp;TEXT(DATE(YEAR(Config!$B$3)+IF($A148&gt;=36,0,1),1,4)-WEEKDAY(DATE(YEAR(Config!$B$3)+IF($A148&gt;=36,0,1),1,4))+1+7*($A148-1)+7,"m/d/yy"))</f>
        <v>3/22/27 – 3/28/27</v>
      </c>
    </row>
    <row r="149" spans="1:7" x14ac:dyDescent="0.2">
      <c r="A149" s="5">
        <v>13</v>
      </c>
      <c r="B149" s="5">
        <f>IF(COUNTIFS(Weekly_Local!$U:$U,"2022-23",Weekly_Local!$T:$T,$A149,Weekly_Local!$D:$D,"&lt;&gt;")=0,"",SUMIFS(Weekly_Local!$D:$D,Weekly_Local!$U:$U,"2022-23",Weekly_Local!$T:$T,$A149))</f>
        <v>0</v>
      </c>
      <c r="C149" s="5">
        <f>IF(COUNTIFS(Weekly_Local!$U:$U,"2023-24",Weekly_Local!$T:$T,$A149,Weekly_Local!$D:$D,"&lt;&gt;")=0,"",SUMIFS(Weekly_Local!$D:$D,Weekly_Local!$U:$U,"2023-24",Weekly_Local!$T:$T,$A149))</f>
        <v>1</v>
      </c>
      <c r="D149" s="5">
        <f>IF(COUNTIFS(Weekly_Local!$U:$U,"2024-25",Weekly_Local!$T:$T,$A149,Weekly_Local!$D:$D,"&lt;&gt;")=0,"",SUMIFS(Weekly_Local!$D:$D,Weekly_Local!$U:$U,"2024-25",Weekly_Local!$T:$T,$A149))</f>
        <v>0</v>
      </c>
      <c r="E149" s="5">
        <f>IF(COUNTIFS(Weekly_Local!$U:$U,"2025-26",Weekly_Local!$T:$T,$A149,Weekly_Local!$D:$D,"&lt;&gt;")=0,"",SUMIFS(Weekly_Local!$D:$D,Weekly_Local!$U:$U,"2025-26",Weekly_Local!$T:$T,$A149))</f>
        <v>0</v>
      </c>
      <c r="F149" s="5" t="str">
        <f>IF(COUNTIFS(Weekly_Local!$U:$U,"2026-27",Weekly_Local!$T:$T,$A149,Weekly_Local!$D:$D,"&lt;&gt;")=0,"",SUMIFS(Weekly_Local!$D:$D,Weekly_Local!$U:$U,"2026-27",Weekly_Local!$T:$T,$A149))</f>
        <v/>
      </c>
      <c r="G149" s="5" t="str">
        <f>IF(AND($A149=53,DATE(YEAR(Config!$B$3),1,4)-WEEKDAY(DATE(YEAR(Config!$B$3),1,4))+1+364&gt;=DATE(YEAR(Config!$B$3)+1,1,4)-WEEKDAY(DATE(YEAR(Config!$B$3)+1,1,4))+1),"",TEXT(DATE(YEAR(Config!$B$3)+IF($A149&gt;=36,0,1),1,4)-WEEKDAY(DATE(YEAR(Config!$B$3)+IF($A149&gt;=36,0,1),1,4))+1+7*($A149-1)+1,"m/d/yy")&amp;" – "&amp;TEXT(DATE(YEAR(Config!$B$3)+IF($A149&gt;=36,0,1),1,4)-WEEKDAY(DATE(YEAR(Config!$B$3)+IF($A149&gt;=36,0,1),1,4))+1+7*($A149-1)+7,"m/d/yy"))</f>
        <v>3/29/27 – 4/4/27</v>
      </c>
    </row>
    <row r="150" spans="1:7" x14ac:dyDescent="0.2">
      <c r="A150" s="5">
        <v>14</v>
      </c>
      <c r="B150" s="5">
        <f>IF(COUNTIFS(Weekly_Local!$U:$U,"2022-23",Weekly_Local!$T:$T,$A150,Weekly_Local!$D:$D,"&lt;&gt;")=0,"",SUMIFS(Weekly_Local!$D:$D,Weekly_Local!$U:$U,"2022-23",Weekly_Local!$T:$T,$A150))</f>
        <v>0</v>
      </c>
      <c r="C150" s="5">
        <f>IF(COUNTIFS(Weekly_Local!$U:$U,"2023-24",Weekly_Local!$T:$T,$A150,Weekly_Local!$D:$D,"&lt;&gt;")=0,"",SUMIFS(Weekly_Local!$D:$D,Weekly_Local!$U:$U,"2023-24",Weekly_Local!$T:$T,$A150))</f>
        <v>1</v>
      </c>
      <c r="D150" s="5">
        <f>IF(COUNTIFS(Weekly_Local!$U:$U,"2024-25",Weekly_Local!$T:$T,$A150,Weekly_Local!$D:$D,"&lt;&gt;")=0,"",SUMIFS(Weekly_Local!$D:$D,Weekly_Local!$U:$U,"2024-25",Weekly_Local!$T:$T,$A150))</f>
        <v>0</v>
      </c>
      <c r="E150" s="5">
        <f>IF(COUNTIFS(Weekly_Local!$U:$U,"2025-26",Weekly_Local!$T:$T,$A150,Weekly_Local!$D:$D,"&lt;&gt;")=0,"",SUMIFS(Weekly_Local!$D:$D,Weekly_Local!$U:$U,"2025-26",Weekly_Local!$T:$T,$A150))</f>
        <v>1</v>
      </c>
      <c r="F150" s="5" t="str">
        <f>IF(COUNTIFS(Weekly_Local!$U:$U,"2026-27",Weekly_Local!$T:$T,$A150,Weekly_Local!$D:$D,"&lt;&gt;")=0,"",SUMIFS(Weekly_Local!$D:$D,Weekly_Local!$U:$U,"2026-27",Weekly_Local!$T:$T,$A150))</f>
        <v/>
      </c>
      <c r="G150" s="5" t="str">
        <f>IF(AND($A150=53,DATE(YEAR(Config!$B$3),1,4)-WEEKDAY(DATE(YEAR(Config!$B$3),1,4))+1+364&gt;=DATE(YEAR(Config!$B$3)+1,1,4)-WEEKDAY(DATE(YEAR(Config!$B$3)+1,1,4))+1),"",TEXT(DATE(YEAR(Config!$B$3)+IF($A150&gt;=36,0,1),1,4)-WEEKDAY(DATE(YEAR(Config!$B$3)+IF($A150&gt;=36,0,1),1,4))+1+7*($A150-1)+1,"m/d/yy")&amp;" – "&amp;TEXT(DATE(YEAR(Config!$B$3)+IF($A150&gt;=36,0,1),1,4)-WEEKDAY(DATE(YEAR(Config!$B$3)+IF($A150&gt;=36,0,1),1,4))+1+7*($A150-1)+7,"m/d/yy"))</f>
        <v>4/5/27 – 4/11/27</v>
      </c>
    </row>
    <row r="151" spans="1:7" x14ac:dyDescent="0.2">
      <c r="A151" s="5">
        <v>15</v>
      </c>
      <c r="B151" s="5">
        <f>IF(COUNTIFS(Weekly_Local!$U:$U,"2022-23",Weekly_Local!$T:$T,$A151,Weekly_Local!$D:$D,"&lt;&gt;")=0,"",SUMIFS(Weekly_Local!$D:$D,Weekly_Local!$U:$U,"2022-23",Weekly_Local!$T:$T,$A151))</f>
        <v>0</v>
      </c>
      <c r="C151" s="5">
        <f>IF(COUNTIFS(Weekly_Local!$U:$U,"2023-24",Weekly_Local!$T:$T,$A151,Weekly_Local!$D:$D,"&lt;&gt;")=0,"",SUMIFS(Weekly_Local!$D:$D,Weekly_Local!$U:$U,"2023-24",Weekly_Local!$T:$T,$A151))</f>
        <v>0</v>
      </c>
      <c r="D151" s="5">
        <f>IF(COUNTIFS(Weekly_Local!$U:$U,"2024-25",Weekly_Local!$T:$T,$A151,Weekly_Local!$D:$D,"&lt;&gt;")=0,"",SUMIFS(Weekly_Local!$D:$D,Weekly_Local!$U:$U,"2024-25",Weekly_Local!$T:$T,$A151))</f>
        <v>1</v>
      </c>
      <c r="E151" s="5">
        <f>IF(COUNTIFS(Weekly_Local!$U:$U,"2025-26",Weekly_Local!$T:$T,$A151,Weekly_Local!$D:$D,"&lt;&gt;")=0,"",SUMIFS(Weekly_Local!$D:$D,Weekly_Local!$U:$U,"2025-26",Weekly_Local!$T:$T,$A151))</f>
        <v>0</v>
      </c>
      <c r="F151" s="5" t="str">
        <f>IF(COUNTIFS(Weekly_Local!$U:$U,"2026-27",Weekly_Local!$T:$T,$A151,Weekly_Local!$D:$D,"&lt;&gt;")=0,"",SUMIFS(Weekly_Local!$D:$D,Weekly_Local!$U:$U,"2026-27",Weekly_Local!$T:$T,$A151))</f>
        <v/>
      </c>
      <c r="G151" s="5" t="str">
        <f>IF(AND($A151=53,DATE(YEAR(Config!$B$3),1,4)-WEEKDAY(DATE(YEAR(Config!$B$3),1,4))+1+364&gt;=DATE(YEAR(Config!$B$3)+1,1,4)-WEEKDAY(DATE(YEAR(Config!$B$3)+1,1,4))+1),"",TEXT(DATE(YEAR(Config!$B$3)+IF($A151&gt;=36,0,1),1,4)-WEEKDAY(DATE(YEAR(Config!$B$3)+IF($A151&gt;=36,0,1),1,4))+1+7*($A151-1)+1,"m/d/yy")&amp;" – "&amp;TEXT(DATE(YEAR(Config!$B$3)+IF($A151&gt;=36,0,1),1,4)-WEEKDAY(DATE(YEAR(Config!$B$3)+IF($A151&gt;=36,0,1),1,4))+1+7*($A151-1)+7,"m/d/yy"))</f>
        <v>4/12/27 – 4/18/27</v>
      </c>
    </row>
    <row r="152" spans="1:7" x14ac:dyDescent="0.2">
      <c r="A152" s="5">
        <v>16</v>
      </c>
      <c r="B152" s="5">
        <f>IF(COUNTIFS(Weekly_Local!$U:$U,"2022-23",Weekly_Local!$T:$T,$A152,Weekly_Local!$D:$D,"&lt;&gt;")=0,"",SUMIFS(Weekly_Local!$D:$D,Weekly_Local!$U:$U,"2022-23",Weekly_Local!$T:$T,$A152))</f>
        <v>0</v>
      </c>
      <c r="C152" s="5">
        <f>IF(COUNTIFS(Weekly_Local!$U:$U,"2023-24",Weekly_Local!$T:$T,$A152,Weekly_Local!$D:$D,"&lt;&gt;")=0,"",SUMIFS(Weekly_Local!$D:$D,Weekly_Local!$U:$U,"2023-24",Weekly_Local!$T:$T,$A152))</f>
        <v>0</v>
      </c>
      <c r="D152" s="5">
        <f>IF(COUNTIFS(Weekly_Local!$U:$U,"2024-25",Weekly_Local!$T:$T,$A152,Weekly_Local!$D:$D,"&lt;&gt;")=0,"",SUMIFS(Weekly_Local!$D:$D,Weekly_Local!$U:$U,"2024-25",Weekly_Local!$T:$T,$A152))</f>
        <v>0</v>
      </c>
      <c r="E152" s="5">
        <f>IF(COUNTIFS(Weekly_Local!$U:$U,"2025-26",Weekly_Local!$T:$T,$A152,Weekly_Local!$D:$D,"&lt;&gt;")=0,"",SUMIFS(Weekly_Local!$D:$D,Weekly_Local!$U:$U,"2025-26",Weekly_Local!$T:$T,$A152))</f>
        <v>0</v>
      </c>
      <c r="F152" s="5" t="str">
        <f>IF(COUNTIFS(Weekly_Local!$U:$U,"2026-27",Weekly_Local!$T:$T,$A152,Weekly_Local!$D:$D,"&lt;&gt;")=0,"",SUMIFS(Weekly_Local!$D:$D,Weekly_Local!$U:$U,"2026-27",Weekly_Local!$T:$T,$A152))</f>
        <v/>
      </c>
      <c r="G152" s="5" t="str">
        <f>IF(AND($A152=53,DATE(YEAR(Config!$B$3),1,4)-WEEKDAY(DATE(YEAR(Config!$B$3),1,4))+1+364&gt;=DATE(YEAR(Config!$B$3)+1,1,4)-WEEKDAY(DATE(YEAR(Config!$B$3)+1,1,4))+1),"",TEXT(DATE(YEAR(Config!$B$3)+IF($A152&gt;=36,0,1),1,4)-WEEKDAY(DATE(YEAR(Config!$B$3)+IF($A152&gt;=36,0,1),1,4))+1+7*($A152-1)+1,"m/d/yy")&amp;" – "&amp;TEXT(DATE(YEAR(Config!$B$3)+IF($A152&gt;=36,0,1),1,4)-WEEKDAY(DATE(YEAR(Config!$B$3)+IF($A152&gt;=36,0,1),1,4))+1+7*($A152-1)+7,"m/d/yy"))</f>
        <v>4/19/27 – 4/25/27</v>
      </c>
    </row>
    <row r="153" spans="1:7" x14ac:dyDescent="0.2">
      <c r="A153" s="5">
        <v>17</v>
      </c>
      <c r="B153" s="5">
        <f>IF(COUNTIFS(Weekly_Local!$U:$U,"2022-23",Weekly_Local!$T:$T,$A153,Weekly_Local!$D:$D,"&lt;&gt;")=0,"",SUMIFS(Weekly_Local!$D:$D,Weekly_Local!$U:$U,"2022-23",Weekly_Local!$T:$T,$A153))</f>
        <v>0</v>
      </c>
      <c r="C153" s="5">
        <f>IF(COUNTIFS(Weekly_Local!$U:$U,"2023-24",Weekly_Local!$T:$T,$A153,Weekly_Local!$D:$D,"&lt;&gt;")=0,"",SUMIFS(Weekly_Local!$D:$D,Weekly_Local!$U:$U,"2023-24",Weekly_Local!$T:$T,$A153))</f>
        <v>0</v>
      </c>
      <c r="D153" s="5">
        <f>IF(COUNTIFS(Weekly_Local!$U:$U,"2024-25",Weekly_Local!$T:$T,$A153,Weekly_Local!$D:$D,"&lt;&gt;")=0,"",SUMIFS(Weekly_Local!$D:$D,Weekly_Local!$U:$U,"2024-25",Weekly_Local!$T:$T,$A153))</f>
        <v>1</v>
      </c>
      <c r="E153" s="5">
        <f>IF(COUNTIFS(Weekly_Local!$U:$U,"2025-26",Weekly_Local!$T:$T,$A153,Weekly_Local!$D:$D,"&lt;&gt;")=0,"",SUMIFS(Weekly_Local!$D:$D,Weekly_Local!$U:$U,"2025-26",Weekly_Local!$T:$T,$A153))</f>
        <v>0</v>
      </c>
      <c r="F153" s="5" t="str">
        <f>IF(COUNTIFS(Weekly_Local!$U:$U,"2026-27",Weekly_Local!$T:$T,$A153,Weekly_Local!$D:$D,"&lt;&gt;")=0,"",SUMIFS(Weekly_Local!$D:$D,Weekly_Local!$U:$U,"2026-27",Weekly_Local!$T:$T,$A153))</f>
        <v/>
      </c>
      <c r="G153" s="5" t="str">
        <f>IF(AND($A153=53,DATE(YEAR(Config!$B$3),1,4)-WEEKDAY(DATE(YEAR(Config!$B$3),1,4))+1+364&gt;=DATE(YEAR(Config!$B$3)+1,1,4)-WEEKDAY(DATE(YEAR(Config!$B$3)+1,1,4))+1),"",TEXT(DATE(YEAR(Config!$B$3)+IF($A153&gt;=36,0,1),1,4)-WEEKDAY(DATE(YEAR(Config!$B$3)+IF($A153&gt;=36,0,1),1,4))+1+7*($A153-1)+1,"m/d/yy")&amp;" – "&amp;TEXT(DATE(YEAR(Config!$B$3)+IF($A153&gt;=36,0,1),1,4)-WEEKDAY(DATE(YEAR(Config!$B$3)+IF($A153&gt;=36,0,1),1,4))+1+7*($A153-1)+7,"m/d/yy"))</f>
        <v>4/26/27 – 5/2/27</v>
      </c>
    </row>
    <row r="154" spans="1:7" x14ac:dyDescent="0.2">
      <c r="A154" s="5">
        <v>18</v>
      </c>
      <c r="B154" s="5">
        <f>IF(COUNTIFS(Weekly_Local!$U:$U,"2022-23",Weekly_Local!$T:$T,$A154,Weekly_Local!$D:$D,"&lt;&gt;")=0,"",SUMIFS(Weekly_Local!$D:$D,Weekly_Local!$U:$U,"2022-23",Weekly_Local!$T:$T,$A154))</f>
        <v>0</v>
      </c>
      <c r="C154" s="5">
        <f>IF(COUNTIFS(Weekly_Local!$U:$U,"2023-24",Weekly_Local!$T:$T,$A154,Weekly_Local!$D:$D,"&lt;&gt;")=0,"",SUMIFS(Weekly_Local!$D:$D,Weekly_Local!$U:$U,"2023-24",Weekly_Local!$T:$T,$A154))</f>
        <v>0</v>
      </c>
      <c r="D154" s="5">
        <f>IF(COUNTIFS(Weekly_Local!$U:$U,"2024-25",Weekly_Local!$T:$T,$A154,Weekly_Local!$D:$D,"&lt;&gt;")=0,"",SUMIFS(Weekly_Local!$D:$D,Weekly_Local!$U:$U,"2024-25",Weekly_Local!$T:$T,$A154))</f>
        <v>0</v>
      </c>
      <c r="E154" s="5">
        <f>IF(COUNTIFS(Weekly_Local!$U:$U,"2025-26",Weekly_Local!$T:$T,$A154,Weekly_Local!$D:$D,"&lt;&gt;")=0,"",SUMIFS(Weekly_Local!$D:$D,Weekly_Local!$U:$U,"2025-26",Weekly_Local!$T:$T,$A154))</f>
        <v>2</v>
      </c>
      <c r="F154" s="5" t="str">
        <f>IF(COUNTIFS(Weekly_Local!$U:$U,"2026-27",Weekly_Local!$T:$T,$A154,Weekly_Local!$D:$D,"&lt;&gt;")=0,"",SUMIFS(Weekly_Local!$D:$D,Weekly_Local!$U:$U,"2026-27",Weekly_Local!$T:$T,$A154))</f>
        <v/>
      </c>
      <c r="G154" s="5" t="str">
        <f>IF(AND($A154=53,DATE(YEAR(Config!$B$3),1,4)-WEEKDAY(DATE(YEAR(Config!$B$3),1,4))+1+364&gt;=DATE(YEAR(Config!$B$3)+1,1,4)-WEEKDAY(DATE(YEAR(Config!$B$3)+1,1,4))+1),"",TEXT(DATE(YEAR(Config!$B$3)+IF($A154&gt;=36,0,1),1,4)-WEEKDAY(DATE(YEAR(Config!$B$3)+IF($A154&gt;=36,0,1),1,4))+1+7*($A154-1)+1,"m/d/yy")&amp;" – "&amp;TEXT(DATE(YEAR(Config!$B$3)+IF($A154&gt;=36,0,1),1,4)-WEEKDAY(DATE(YEAR(Config!$B$3)+IF($A154&gt;=36,0,1),1,4))+1+7*($A154-1)+7,"m/d/yy"))</f>
        <v>5/3/27 – 5/9/27</v>
      </c>
    </row>
    <row r="155" spans="1:7" x14ac:dyDescent="0.2">
      <c r="A155" s="5">
        <v>19</v>
      </c>
      <c r="B155" s="5">
        <f>IF(COUNTIFS(Weekly_Local!$U:$U,"2022-23",Weekly_Local!$T:$T,$A155,Weekly_Local!$D:$D,"&lt;&gt;")=0,"",SUMIFS(Weekly_Local!$D:$D,Weekly_Local!$U:$U,"2022-23",Weekly_Local!$T:$T,$A155))</f>
        <v>0</v>
      </c>
      <c r="C155" s="5">
        <f>IF(COUNTIFS(Weekly_Local!$U:$U,"2023-24",Weekly_Local!$T:$T,$A155,Weekly_Local!$D:$D,"&lt;&gt;")=0,"",SUMIFS(Weekly_Local!$D:$D,Weekly_Local!$U:$U,"2023-24",Weekly_Local!$T:$T,$A155))</f>
        <v>0</v>
      </c>
      <c r="D155" s="5">
        <f>IF(COUNTIFS(Weekly_Local!$U:$U,"2024-25",Weekly_Local!$T:$T,$A155,Weekly_Local!$D:$D,"&lt;&gt;")=0,"",SUMIFS(Weekly_Local!$D:$D,Weekly_Local!$U:$U,"2024-25",Weekly_Local!$T:$T,$A155))</f>
        <v>0</v>
      </c>
      <c r="E155" s="5">
        <f>IF(COUNTIFS(Weekly_Local!$U:$U,"2025-26",Weekly_Local!$T:$T,$A155,Weekly_Local!$D:$D,"&lt;&gt;")=0,"",SUMIFS(Weekly_Local!$D:$D,Weekly_Local!$U:$U,"2025-26",Weekly_Local!$T:$T,$A155))</f>
        <v>0</v>
      </c>
      <c r="F155" s="5" t="str">
        <f>IF(COUNTIFS(Weekly_Local!$U:$U,"2026-27",Weekly_Local!$T:$T,$A155,Weekly_Local!$D:$D,"&lt;&gt;")=0,"",SUMIFS(Weekly_Local!$D:$D,Weekly_Local!$U:$U,"2026-27",Weekly_Local!$T:$T,$A155))</f>
        <v/>
      </c>
      <c r="G155" s="5" t="str">
        <f>IF(AND($A155=53,DATE(YEAR(Config!$B$3),1,4)-WEEKDAY(DATE(YEAR(Config!$B$3),1,4))+1+364&gt;=DATE(YEAR(Config!$B$3)+1,1,4)-WEEKDAY(DATE(YEAR(Config!$B$3)+1,1,4))+1),"",TEXT(DATE(YEAR(Config!$B$3)+IF($A155&gt;=36,0,1),1,4)-WEEKDAY(DATE(YEAR(Config!$B$3)+IF($A155&gt;=36,0,1),1,4))+1+7*($A155-1)+1,"m/d/yy")&amp;" – "&amp;TEXT(DATE(YEAR(Config!$B$3)+IF($A155&gt;=36,0,1),1,4)-WEEKDAY(DATE(YEAR(Config!$B$3)+IF($A155&gt;=36,0,1),1,4))+1+7*($A155-1)+7,"m/d/yy"))</f>
        <v>5/10/27 – 5/16/27</v>
      </c>
    </row>
    <row r="156" spans="1:7" x14ac:dyDescent="0.2">
      <c r="A156" s="5">
        <v>20</v>
      </c>
      <c r="B156" s="5">
        <f>IF(COUNTIFS(Weekly_Local!$U:$U,"2022-23",Weekly_Local!$T:$T,$A156,Weekly_Local!$D:$D,"&lt;&gt;")=0,"",SUMIFS(Weekly_Local!$D:$D,Weekly_Local!$U:$U,"2022-23",Weekly_Local!$T:$T,$A156))</f>
        <v>0</v>
      </c>
      <c r="C156" s="5">
        <f>IF(COUNTIFS(Weekly_Local!$U:$U,"2023-24",Weekly_Local!$T:$T,$A156,Weekly_Local!$D:$D,"&lt;&gt;")=0,"",SUMIFS(Weekly_Local!$D:$D,Weekly_Local!$U:$U,"2023-24",Weekly_Local!$T:$T,$A156))</f>
        <v>0</v>
      </c>
      <c r="D156" s="5">
        <f>IF(COUNTIFS(Weekly_Local!$U:$U,"2024-25",Weekly_Local!$T:$T,$A156,Weekly_Local!$D:$D,"&lt;&gt;")=0,"",SUMIFS(Weekly_Local!$D:$D,Weekly_Local!$U:$U,"2024-25",Weekly_Local!$T:$T,$A156))</f>
        <v>0</v>
      </c>
      <c r="E156" s="5">
        <f>IF(COUNTIFS(Weekly_Local!$U:$U,"2025-26",Weekly_Local!$T:$T,$A156,Weekly_Local!$D:$D,"&lt;&gt;")=0,"",SUMIFS(Weekly_Local!$D:$D,Weekly_Local!$U:$U,"2025-26",Weekly_Local!$T:$T,$A156))</f>
        <v>2</v>
      </c>
      <c r="F156" s="5" t="str">
        <f>IF(COUNTIFS(Weekly_Local!$U:$U,"2026-27",Weekly_Local!$T:$T,$A156,Weekly_Local!$D:$D,"&lt;&gt;")=0,"",SUMIFS(Weekly_Local!$D:$D,Weekly_Local!$U:$U,"2026-27",Weekly_Local!$T:$T,$A156))</f>
        <v/>
      </c>
      <c r="G156" s="5" t="str">
        <f>IF(AND($A156=53,DATE(YEAR(Config!$B$3),1,4)-WEEKDAY(DATE(YEAR(Config!$B$3),1,4))+1+364&gt;=DATE(YEAR(Config!$B$3)+1,1,4)-WEEKDAY(DATE(YEAR(Config!$B$3)+1,1,4))+1),"",TEXT(DATE(YEAR(Config!$B$3)+IF($A156&gt;=36,0,1),1,4)-WEEKDAY(DATE(YEAR(Config!$B$3)+IF($A156&gt;=36,0,1),1,4))+1+7*($A156-1)+1,"m/d/yy")&amp;" – "&amp;TEXT(DATE(YEAR(Config!$B$3)+IF($A156&gt;=36,0,1),1,4)-WEEKDAY(DATE(YEAR(Config!$B$3)+IF($A156&gt;=36,0,1),1,4))+1+7*($A156-1)+7,"m/d/yy"))</f>
        <v>5/17/27 – 5/23/27</v>
      </c>
    </row>
    <row r="157" spans="1:7" x14ac:dyDescent="0.2">
      <c r="A157" s="5">
        <v>21</v>
      </c>
      <c r="B157" s="5">
        <f>IF(COUNTIFS(Weekly_Local!$U:$U,"2022-23",Weekly_Local!$T:$T,$A157,Weekly_Local!$D:$D,"&lt;&gt;")=0,"",SUMIFS(Weekly_Local!$D:$D,Weekly_Local!$U:$U,"2022-23",Weekly_Local!$T:$T,$A157))</f>
        <v>0</v>
      </c>
      <c r="C157" s="5">
        <f>IF(COUNTIFS(Weekly_Local!$U:$U,"2023-24",Weekly_Local!$T:$T,$A157,Weekly_Local!$D:$D,"&lt;&gt;")=0,"",SUMIFS(Weekly_Local!$D:$D,Weekly_Local!$U:$U,"2023-24",Weekly_Local!$T:$T,$A157))</f>
        <v>0</v>
      </c>
      <c r="D157" s="5">
        <f>IF(COUNTIFS(Weekly_Local!$U:$U,"2024-25",Weekly_Local!$T:$T,$A157,Weekly_Local!$D:$D,"&lt;&gt;")=0,"",SUMIFS(Weekly_Local!$D:$D,Weekly_Local!$U:$U,"2024-25",Weekly_Local!$T:$T,$A157))</f>
        <v>0</v>
      </c>
      <c r="E157" s="5">
        <f>IF(COUNTIFS(Weekly_Local!$U:$U,"2025-26",Weekly_Local!$T:$T,$A157,Weekly_Local!$D:$D,"&lt;&gt;")=0,"",SUMIFS(Weekly_Local!$D:$D,Weekly_Local!$U:$U,"2025-26",Weekly_Local!$T:$T,$A157))</f>
        <v>1</v>
      </c>
      <c r="F157" s="5" t="str">
        <f>IF(COUNTIFS(Weekly_Local!$U:$U,"2026-27",Weekly_Local!$T:$T,$A157,Weekly_Local!$D:$D,"&lt;&gt;")=0,"",SUMIFS(Weekly_Local!$D:$D,Weekly_Local!$U:$U,"2026-27",Weekly_Local!$T:$T,$A157))</f>
        <v/>
      </c>
      <c r="G157" s="5" t="str">
        <f>IF(AND($A157=53,DATE(YEAR(Config!$B$3),1,4)-WEEKDAY(DATE(YEAR(Config!$B$3),1,4))+1+364&gt;=DATE(YEAR(Config!$B$3)+1,1,4)-WEEKDAY(DATE(YEAR(Config!$B$3)+1,1,4))+1),"",TEXT(DATE(YEAR(Config!$B$3)+IF($A157&gt;=36,0,1),1,4)-WEEKDAY(DATE(YEAR(Config!$B$3)+IF($A157&gt;=36,0,1),1,4))+1+7*($A157-1)+1,"m/d/yy")&amp;" – "&amp;TEXT(DATE(YEAR(Config!$B$3)+IF($A157&gt;=36,0,1),1,4)-WEEKDAY(DATE(YEAR(Config!$B$3)+IF($A157&gt;=36,0,1),1,4))+1+7*($A157-1)+7,"m/d/yy"))</f>
        <v>5/24/27 – 5/30/27</v>
      </c>
    </row>
    <row r="158" spans="1:7" x14ac:dyDescent="0.2">
      <c r="A158" s="5">
        <v>22</v>
      </c>
      <c r="B158" s="5">
        <f>IF(COUNTIFS(Weekly_Local!$U:$U,"2022-23",Weekly_Local!$T:$T,$A158,Weekly_Local!$D:$D,"&lt;&gt;")=0,"",SUMIFS(Weekly_Local!$D:$D,Weekly_Local!$U:$U,"2022-23",Weekly_Local!$T:$T,$A158))</f>
        <v>0</v>
      </c>
      <c r="C158" s="5">
        <f>IF(COUNTIFS(Weekly_Local!$U:$U,"2023-24",Weekly_Local!$T:$T,$A158,Weekly_Local!$D:$D,"&lt;&gt;")=0,"",SUMIFS(Weekly_Local!$D:$D,Weekly_Local!$U:$U,"2023-24",Weekly_Local!$T:$T,$A158))</f>
        <v>0</v>
      </c>
      <c r="D158" s="5">
        <f>IF(COUNTIFS(Weekly_Local!$U:$U,"2024-25",Weekly_Local!$T:$T,$A158,Weekly_Local!$D:$D,"&lt;&gt;")=0,"",SUMIFS(Weekly_Local!$D:$D,Weekly_Local!$U:$U,"2024-25",Weekly_Local!$T:$T,$A158))</f>
        <v>0</v>
      </c>
      <c r="E158" s="5">
        <f>IF(COUNTIFS(Weekly_Local!$U:$U,"2025-26",Weekly_Local!$T:$T,$A158,Weekly_Local!$D:$D,"&lt;&gt;")=0,"",SUMIFS(Weekly_Local!$D:$D,Weekly_Local!$U:$U,"2025-26",Weekly_Local!$T:$T,$A158))</f>
        <v>0</v>
      </c>
      <c r="F158" s="5" t="str">
        <f>IF(COUNTIFS(Weekly_Local!$U:$U,"2026-27",Weekly_Local!$T:$T,$A158,Weekly_Local!$D:$D,"&lt;&gt;")=0,"",SUMIFS(Weekly_Local!$D:$D,Weekly_Local!$U:$U,"2026-27",Weekly_Local!$T:$T,$A158))</f>
        <v/>
      </c>
      <c r="G158" s="5" t="str">
        <f>IF(AND($A158=53,DATE(YEAR(Config!$B$3),1,4)-WEEKDAY(DATE(YEAR(Config!$B$3),1,4))+1+364&gt;=DATE(YEAR(Config!$B$3)+1,1,4)-WEEKDAY(DATE(YEAR(Config!$B$3)+1,1,4))+1),"",TEXT(DATE(YEAR(Config!$B$3)+IF($A158&gt;=36,0,1),1,4)-WEEKDAY(DATE(YEAR(Config!$B$3)+IF($A158&gt;=36,0,1),1,4))+1+7*($A158-1)+1,"m/d/yy")&amp;" – "&amp;TEXT(DATE(YEAR(Config!$B$3)+IF($A158&gt;=36,0,1),1,4)-WEEKDAY(DATE(YEAR(Config!$B$3)+IF($A158&gt;=36,0,1),1,4))+1+7*($A158-1)+7,"m/d/yy"))</f>
        <v>5/31/27 – 6/6/27</v>
      </c>
    </row>
    <row r="159" spans="1:7" x14ac:dyDescent="0.2">
      <c r="A159" s="5">
        <v>23</v>
      </c>
      <c r="B159" s="5">
        <f>IF(COUNTIFS(Weekly_Local!$U:$U,"2022-23",Weekly_Local!$T:$T,$A159,Weekly_Local!$D:$D,"&lt;&gt;")=0,"",SUMIFS(Weekly_Local!$D:$D,Weekly_Local!$U:$U,"2022-23",Weekly_Local!$T:$T,$A159))</f>
        <v>0</v>
      </c>
      <c r="C159" s="5">
        <f>IF(COUNTIFS(Weekly_Local!$U:$U,"2023-24",Weekly_Local!$T:$T,$A159,Weekly_Local!$D:$D,"&lt;&gt;")=0,"",SUMIFS(Weekly_Local!$D:$D,Weekly_Local!$U:$U,"2023-24",Weekly_Local!$T:$T,$A159))</f>
        <v>1</v>
      </c>
      <c r="D159" s="5">
        <f>IF(COUNTIFS(Weekly_Local!$U:$U,"2024-25",Weekly_Local!$T:$T,$A159,Weekly_Local!$D:$D,"&lt;&gt;")=0,"",SUMIFS(Weekly_Local!$D:$D,Weekly_Local!$U:$U,"2024-25",Weekly_Local!$T:$T,$A159))</f>
        <v>0</v>
      </c>
      <c r="E159" s="5">
        <f>IF(COUNTIFS(Weekly_Local!$U:$U,"2025-26",Weekly_Local!$T:$T,$A159,Weekly_Local!$D:$D,"&lt;&gt;")=0,"",SUMIFS(Weekly_Local!$D:$D,Weekly_Local!$U:$U,"2025-26",Weekly_Local!$T:$T,$A159))</f>
        <v>1</v>
      </c>
      <c r="F159" s="5" t="str">
        <f>IF(COUNTIFS(Weekly_Local!$U:$U,"2026-27",Weekly_Local!$T:$T,$A159,Weekly_Local!$D:$D,"&lt;&gt;")=0,"",SUMIFS(Weekly_Local!$D:$D,Weekly_Local!$U:$U,"2026-27",Weekly_Local!$T:$T,$A159))</f>
        <v/>
      </c>
      <c r="G159" s="5" t="str">
        <f>IF(AND($A159=53,DATE(YEAR(Config!$B$3),1,4)-WEEKDAY(DATE(YEAR(Config!$B$3),1,4))+1+364&gt;=DATE(YEAR(Config!$B$3)+1,1,4)-WEEKDAY(DATE(YEAR(Config!$B$3)+1,1,4))+1),"",TEXT(DATE(YEAR(Config!$B$3)+IF($A159&gt;=36,0,1),1,4)-WEEKDAY(DATE(YEAR(Config!$B$3)+IF($A159&gt;=36,0,1),1,4))+1+7*($A159-1)+1,"m/d/yy")&amp;" – "&amp;TEXT(DATE(YEAR(Config!$B$3)+IF($A159&gt;=36,0,1),1,4)-WEEKDAY(DATE(YEAR(Config!$B$3)+IF($A159&gt;=36,0,1),1,4))+1+7*($A159-1)+7,"m/d/yy"))</f>
        <v>6/7/27 – 6/13/27</v>
      </c>
    </row>
    <row r="160" spans="1:7" x14ac:dyDescent="0.2">
      <c r="A160" s="5">
        <v>24</v>
      </c>
      <c r="B160" s="5">
        <f>IF(COUNTIFS(Weekly_Local!$U:$U,"2022-23",Weekly_Local!$T:$T,$A160,Weekly_Local!$D:$D,"&lt;&gt;")=0,"",SUMIFS(Weekly_Local!$D:$D,Weekly_Local!$U:$U,"2022-23",Weekly_Local!$T:$T,$A160))</f>
        <v>0</v>
      </c>
      <c r="C160" s="5">
        <f>IF(COUNTIFS(Weekly_Local!$U:$U,"2023-24",Weekly_Local!$T:$T,$A160,Weekly_Local!$D:$D,"&lt;&gt;")=0,"",SUMIFS(Weekly_Local!$D:$D,Weekly_Local!$U:$U,"2023-24",Weekly_Local!$T:$T,$A160))</f>
        <v>0</v>
      </c>
      <c r="D160" s="5">
        <f>IF(COUNTIFS(Weekly_Local!$U:$U,"2024-25",Weekly_Local!$T:$T,$A160,Weekly_Local!$D:$D,"&lt;&gt;")=0,"",SUMIFS(Weekly_Local!$D:$D,Weekly_Local!$U:$U,"2024-25",Weekly_Local!$T:$T,$A160))</f>
        <v>0</v>
      </c>
      <c r="E160" s="5">
        <f>IF(COUNTIFS(Weekly_Local!$U:$U,"2025-26",Weekly_Local!$T:$T,$A160,Weekly_Local!$D:$D,"&lt;&gt;")=0,"",SUMIFS(Weekly_Local!$D:$D,Weekly_Local!$U:$U,"2025-26",Weekly_Local!$T:$T,$A160))</f>
        <v>0</v>
      </c>
      <c r="F160" s="5" t="str">
        <f>IF(COUNTIFS(Weekly_Local!$U:$U,"2026-27",Weekly_Local!$T:$T,$A160,Weekly_Local!$D:$D,"&lt;&gt;")=0,"",SUMIFS(Weekly_Local!$D:$D,Weekly_Local!$U:$U,"2026-27",Weekly_Local!$T:$T,$A160))</f>
        <v/>
      </c>
      <c r="G160" s="5" t="str">
        <f>IF(AND($A160=53,DATE(YEAR(Config!$B$3),1,4)-WEEKDAY(DATE(YEAR(Config!$B$3),1,4))+1+364&gt;=DATE(YEAR(Config!$B$3)+1,1,4)-WEEKDAY(DATE(YEAR(Config!$B$3)+1,1,4))+1),"",TEXT(DATE(YEAR(Config!$B$3)+IF($A160&gt;=36,0,1),1,4)-WEEKDAY(DATE(YEAR(Config!$B$3)+IF($A160&gt;=36,0,1),1,4))+1+7*($A160-1)+1,"m/d/yy")&amp;" – "&amp;TEXT(DATE(YEAR(Config!$B$3)+IF($A160&gt;=36,0,1),1,4)-WEEKDAY(DATE(YEAR(Config!$B$3)+IF($A160&gt;=36,0,1),1,4))+1+7*($A160-1)+7,"m/d/yy"))</f>
        <v>6/14/27 – 6/20/27</v>
      </c>
    </row>
    <row r="161" spans="1:7" x14ac:dyDescent="0.2">
      <c r="A161" s="5">
        <v>25</v>
      </c>
      <c r="B161" s="5">
        <f>IF(COUNTIFS(Weekly_Local!$U:$U,"2022-23",Weekly_Local!$T:$T,$A161,Weekly_Local!$D:$D,"&lt;&gt;")=0,"",SUMIFS(Weekly_Local!$D:$D,Weekly_Local!$U:$U,"2022-23",Weekly_Local!$T:$T,$A161))</f>
        <v>0</v>
      </c>
      <c r="C161" s="5">
        <f>IF(COUNTIFS(Weekly_Local!$U:$U,"2023-24",Weekly_Local!$T:$T,$A161,Weekly_Local!$D:$D,"&lt;&gt;")=0,"",SUMIFS(Weekly_Local!$D:$D,Weekly_Local!$U:$U,"2023-24",Weekly_Local!$T:$T,$A161))</f>
        <v>0</v>
      </c>
      <c r="D161" s="5">
        <f>IF(COUNTIFS(Weekly_Local!$U:$U,"2024-25",Weekly_Local!$T:$T,$A161,Weekly_Local!$D:$D,"&lt;&gt;")=0,"",SUMIFS(Weekly_Local!$D:$D,Weekly_Local!$U:$U,"2024-25",Weekly_Local!$T:$T,$A161))</f>
        <v>0</v>
      </c>
      <c r="E161" s="5">
        <f>IF(COUNTIFS(Weekly_Local!$U:$U,"2025-26",Weekly_Local!$T:$T,$A161,Weekly_Local!$D:$D,"&lt;&gt;")=0,"",SUMIFS(Weekly_Local!$D:$D,Weekly_Local!$U:$U,"2025-26",Weekly_Local!$T:$T,$A161))</f>
        <v>0</v>
      </c>
      <c r="F161" s="5" t="str">
        <f>IF(COUNTIFS(Weekly_Local!$U:$U,"2026-27",Weekly_Local!$T:$T,$A161,Weekly_Local!$D:$D,"&lt;&gt;")=0,"",SUMIFS(Weekly_Local!$D:$D,Weekly_Local!$U:$U,"2026-27",Weekly_Local!$T:$T,$A161))</f>
        <v/>
      </c>
      <c r="G161" s="5" t="str">
        <f>IF(AND($A161=53,DATE(YEAR(Config!$B$3),1,4)-WEEKDAY(DATE(YEAR(Config!$B$3),1,4))+1+364&gt;=DATE(YEAR(Config!$B$3)+1,1,4)-WEEKDAY(DATE(YEAR(Config!$B$3)+1,1,4))+1),"",TEXT(DATE(YEAR(Config!$B$3)+IF($A161&gt;=36,0,1),1,4)-WEEKDAY(DATE(YEAR(Config!$B$3)+IF($A161&gt;=36,0,1),1,4))+1+7*($A161-1)+1,"m/d/yy")&amp;" – "&amp;TEXT(DATE(YEAR(Config!$B$3)+IF($A161&gt;=36,0,1),1,4)-WEEKDAY(DATE(YEAR(Config!$B$3)+IF($A161&gt;=36,0,1),1,4))+1+7*($A161-1)+7,"m/d/yy"))</f>
        <v>6/21/27 – 6/27/27</v>
      </c>
    </row>
    <row r="162" spans="1:7" x14ac:dyDescent="0.2">
      <c r="A162" s="5">
        <v>26</v>
      </c>
      <c r="B162" s="5">
        <f>IF(COUNTIFS(Weekly_Local!$U:$U,"2022-23",Weekly_Local!$T:$T,$A162,Weekly_Local!$D:$D,"&lt;&gt;")=0,"",SUMIFS(Weekly_Local!$D:$D,Weekly_Local!$U:$U,"2022-23",Weekly_Local!$T:$T,$A162))</f>
        <v>0</v>
      </c>
      <c r="C162" s="5">
        <f>IF(COUNTIFS(Weekly_Local!$U:$U,"2023-24",Weekly_Local!$T:$T,$A162,Weekly_Local!$D:$D,"&lt;&gt;")=0,"",SUMIFS(Weekly_Local!$D:$D,Weekly_Local!$U:$U,"2023-24",Weekly_Local!$T:$T,$A162))</f>
        <v>0</v>
      </c>
      <c r="D162" s="5">
        <f>IF(COUNTIFS(Weekly_Local!$U:$U,"2024-25",Weekly_Local!$T:$T,$A162,Weekly_Local!$D:$D,"&lt;&gt;")=0,"",SUMIFS(Weekly_Local!$D:$D,Weekly_Local!$U:$U,"2024-25",Weekly_Local!$T:$T,$A162))</f>
        <v>1</v>
      </c>
      <c r="E162" s="5">
        <f>IF(COUNTIFS(Weekly_Local!$U:$U,"2025-26",Weekly_Local!$T:$T,$A162,Weekly_Local!$D:$D,"&lt;&gt;")=0,"",SUMIFS(Weekly_Local!$D:$D,Weekly_Local!$U:$U,"2025-26",Weekly_Local!$T:$T,$A162))</f>
        <v>0</v>
      </c>
      <c r="F162" s="5" t="str">
        <f>IF(COUNTIFS(Weekly_Local!$U:$U,"2026-27",Weekly_Local!$T:$T,$A162,Weekly_Local!$D:$D,"&lt;&gt;")=0,"",SUMIFS(Weekly_Local!$D:$D,Weekly_Local!$U:$U,"2026-27",Weekly_Local!$T:$T,$A162))</f>
        <v/>
      </c>
      <c r="G162" s="5" t="str">
        <f>IF(AND($A162=53,DATE(YEAR(Config!$B$3),1,4)-WEEKDAY(DATE(YEAR(Config!$B$3),1,4))+1+364&gt;=DATE(YEAR(Config!$B$3)+1,1,4)-WEEKDAY(DATE(YEAR(Config!$B$3)+1,1,4))+1),"",TEXT(DATE(YEAR(Config!$B$3)+IF($A162&gt;=36,0,1),1,4)-WEEKDAY(DATE(YEAR(Config!$B$3)+IF($A162&gt;=36,0,1),1,4))+1+7*($A162-1)+1,"m/d/yy")&amp;" – "&amp;TEXT(DATE(YEAR(Config!$B$3)+IF($A162&gt;=36,0,1),1,4)-WEEKDAY(DATE(YEAR(Config!$B$3)+IF($A162&gt;=36,0,1),1,4))+1+7*($A162-1)+7,"m/d/yy"))</f>
        <v>6/28/27 – 7/4/27</v>
      </c>
    </row>
    <row r="163" spans="1:7" x14ac:dyDescent="0.2">
      <c r="A163" s="5">
        <v>27</v>
      </c>
      <c r="B163" s="5">
        <f>IF(COUNTIFS(Weekly_Local!$U:$U,"2022-23",Weekly_Local!$T:$T,$A163,Weekly_Local!$D:$D,"&lt;&gt;")=0,"",SUMIFS(Weekly_Local!$D:$D,Weekly_Local!$U:$U,"2022-23",Weekly_Local!$T:$T,$A163))</f>
        <v>0</v>
      </c>
      <c r="C163" s="5">
        <f>IF(COUNTIFS(Weekly_Local!$U:$U,"2023-24",Weekly_Local!$T:$T,$A163,Weekly_Local!$D:$D,"&lt;&gt;")=0,"",SUMIFS(Weekly_Local!$D:$D,Weekly_Local!$U:$U,"2023-24",Weekly_Local!$T:$T,$A163))</f>
        <v>0</v>
      </c>
      <c r="D163" s="5">
        <f>IF(COUNTIFS(Weekly_Local!$U:$U,"2024-25",Weekly_Local!$T:$T,$A163,Weekly_Local!$D:$D,"&lt;&gt;")=0,"",SUMIFS(Weekly_Local!$D:$D,Weekly_Local!$U:$U,"2024-25",Weekly_Local!$T:$T,$A163))</f>
        <v>0</v>
      </c>
      <c r="E163" s="5">
        <f>IF(COUNTIFS(Weekly_Local!$U:$U,"2025-26",Weekly_Local!$T:$T,$A163,Weekly_Local!$D:$D,"&lt;&gt;")=0,"",SUMIFS(Weekly_Local!$D:$D,Weekly_Local!$U:$U,"2025-26",Weekly_Local!$T:$T,$A163))</f>
        <v>0</v>
      </c>
      <c r="F163" s="5" t="str">
        <f>IF(COUNTIFS(Weekly_Local!$U:$U,"2026-27",Weekly_Local!$T:$T,$A163,Weekly_Local!$D:$D,"&lt;&gt;")=0,"",SUMIFS(Weekly_Local!$D:$D,Weekly_Local!$U:$U,"2026-27",Weekly_Local!$T:$T,$A163))</f>
        <v/>
      </c>
      <c r="G163" s="5" t="str">
        <f>IF(AND($A163=53,DATE(YEAR(Config!$B$3),1,4)-WEEKDAY(DATE(YEAR(Config!$B$3),1,4))+1+364&gt;=DATE(YEAR(Config!$B$3)+1,1,4)-WEEKDAY(DATE(YEAR(Config!$B$3)+1,1,4))+1),"",TEXT(DATE(YEAR(Config!$B$3)+IF($A163&gt;=36,0,1),1,4)-WEEKDAY(DATE(YEAR(Config!$B$3)+IF($A163&gt;=36,0,1),1,4))+1+7*($A163-1)+1,"m/d/yy")&amp;" – "&amp;TEXT(DATE(YEAR(Config!$B$3)+IF($A163&gt;=36,0,1),1,4)-WEEKDAY(DATE(YEAR(Config!$B$3)+IF($A163&gt;=36,0,1),1,4))+1+7*($A163-1)+7,"m/d/yy"))</f>
        <v>7/5/27 – 7/11/27</v>
      </c>
    </row>
    <row r="164" spans="1:7" x14ac:dyDescent="0.2">
      <c r="A164" s="5">
        <v>28</v>
      </c>
      <c r="B164" s="5">
        <f>IF(COUNTIFS(Weekly_Local!$U:$U,"2022-23",Weekly_Local!$T:$T,$A164,Weekly_Local!$D:$D,"&lt;&gt;")=0,"",SUMIFS(Weekly_Local!$D:$D,Weekly_Local!$U:$U,"2022-23",Weekly_Local!$T:$T,$A164))</f>
        <v>0</v>
      </c>
      <c r="C164" s="5">
        <f>IF(COUNTIFS(Weekly_Local!$U:$U,"2023-24",Weekly_Local!$T:$T,$A164,Weekly_Local!$D:$D,"&lt;&gt;")=0,"",SUMIFS(Weekly_Local!$D:$D,Weekly_Local!$U:$U,"2023-24",Weekly_Local!$T:$T,$A164))</f>
        <v>0</v>
      </c>
      <c r="D164" s="5">
        <f>IF(COUNTIFS(Weekly_Local!$U:$U,"2024-25",Weekly_Local!$T:$T,$A164,Weekly_Local!$D:$D,"&lt;&gt;")=0,"",SUMIFS(Weekly_Local!$D:$D,Weekly_Local!$U:$U,"2024-25",Weekly_Local!$T:$T,$A164))</f>
        <v>0</v>
      </c>
      <c r="E164" s="5">
        <f>IF(COUNTIFS(Weekly_Local!$U:$U,"2025-26",Weekly_Local!$T:$T,$A164,Weekly_Local!$D:$D,"&lt;&gt;")=0,"",SUMIFS(Weekly_Local!$D:$D,Weekly_Local!$U:$U,"2025-26",Weekly_Local!$T:$T,$A164))</f>
        <v>0</v>
      </c>
      <c r="F164" s="5" t="str">
        <f>IF(COUNTIFS(Weekly_Local!$U:$U,"2026-27",Weekly_Local!$T:$T,$A164,Weekly_Local!$D:$D,"&lt;&gt;")=0,"",SUMIFS(Weekly_Local!$D:$D,Weekly_Local!$U:$U,"2026-27",Weekly_Local!$T:$T,$A164))</f>
        <v/>
      </c>
      <c r="G164" s="5" t="str">
        <f>IF(AND($A164=53,DATE(YEAR(Config!$B$3),1,4)-WEEKDAY(DATE(YEAR(Config!$B$3),1,4))+1+364&gt;=DATE(YEAR(Config!$B$3)+1,1,4)-WEEKDAY(DATE(YEAR(Config!$B$3)+1,1,4))+1),"",TEXT(DATE(YEAR(Config!$B$3)+IF($A164&gt;=36,0,1),1,4)-WEEKDAY(DATE(YEAR(Config!$B$3)+IF($A164&gt;=36,0,1),1,4))+1+7*($A164-1)+1,"m/d/yy")&amp;" – "&amp;TEXT(DATE(YEAR(Config!$B$3)+IF($A164&gt;=36,0,1),1,4)-WEEKDAY(DATE(YEAR(Config!$B$3)+IF($A164&gt;=36,0,1),1,4))+1+7*($A164-1)+7,"m/d/yy"))</f>
        <v>7/12/27 – 7/18/27</v>
      </c>
    </row>
    <row r="165" spans="1:7" x14ac:dyDescent="0.2">
      <c r="A165" s="5">
        <v>29</v>
      </c>
      <c r="B165" s="5">
        <f>IF(COUNTIFS(Weekly_Local!$U:$U,"2022-23",Weekly_Local!$T:$T,$A165,Weekly_Local!$D:$D,"&lt;&gt;")=0,"",SUMIFS(Weekly_Local!$D:$D,Weekly_Local!$U:$U,"2022-23",Weekly_Local!$T:$T,$A165))</f>
        <v>0</v>
      </c>
      <c r="C165" s="5">
        <f>IF(COUNTIFS(Weekly_Local!$U:$U,"2023-24",Weekly_Local!$T:$T,$A165,Weekly_Local!$D:$D,"&lt;&gt;")=0,"",SUMIFS(Weekly_Local!$D:$D,Weekly_Local!$U:$U,"2023-24",Weekly_Local!$T:$T,$A165))</f>
        <v>0</v>
      </c>
      <c r="D165" s="5">
        <f>IF(COUNTIFS(Weekly_Local!$U:$U,"2024-25",Weekly_Local!$T:$T,$A165,Weekly_Local!$D:$D,"&lt;&gt;")=0,"",SUMIFS(Weekly_Local!$D:$D,Weekly_Local!$U:$U,"2024-25",Weekly_Local!$T:$T,$A165))</f>
        <v>0</v>
      </c>
      <c r="E165" s="5">
        <f>IF(COUNTIFS(Weekly_Local!$U:$U,"2025-26",Weekly_Local!$T:$T,$A165,Weekly_Local!$D:$D,"&lt;&gt;")=0,"",SUMIFS(Weekly_Local!$D:$D,Weekly_Local!$U:$U,"2025-26",Weekly_Local!$T:$T,$A165))</f>
        <v>0</v>
      </c>
      <c r="F165" s="5" t="str">
        <f>IF(COUNTIFS(Weekly_Local!$U:$U,"2026-27",Weekly_Local!$T:$T,$A165,Weekly_Local!$D:$D,"&lt;&gt;")=0,"",SUMIFS(Weekly_Local!$D:$D,Weekly_Local!$U:$U,"2026-27",Weekly_Local!$T:$T,$A165))</f>
        <v/>
      </c>
      <c r="G165" s="5" t="str">
        <f>IF(AND($A165=53,DATE(YEAR(Config!$B$3),1,4)-WEEKDAY(DATE(YEAR(Config!$B$3),1,4))+1+364&gt;=DATE(YEAR(Config!$B$3)+1,1,4)-WEEKDAY(DATE(YEAR(Config!$B$3)+1,1,4))+1),"",TEXT(DATE(YEAR(Config!$B$3)+IF($A165&gt;=36,0,1),1,4)-WEEKDAY(DATE(YEAR(Config!$B$3)+IF($A165&gt;=36,0,1),1,4))+1+7*($A165-1)+1,"m/d/yy")&amp;" – "&amp;TEXT(DATE(YEAR(Config!$B$3)+IF($A165&gt;=36,0,1),1,4)-WEEKDAY(DATE(YEAR(Config!$B$3)+IF($A165&gt;=36,0,1),1,4))+1+7*($A165-1)+7,"m/d/yy"))</f>
        <v>7/19/27 – 7/25/27</v>
      </c>
    </row>
    <row r="166" spans="1:7" x14ac:dyDescent="0.2">
      <c r="A166" s="5">
        <v>30</v>
      </c>
      <c r="B166" s="5">
        <f>IF(COUNTIFS(Weekly_Local!$U:$U,"2022-23",Weekly_Local!$T:$T,$A166,Weekly_Local!$D:$D,"&lt;&gt;")=0,"",SUMIFS(Weekly_Local!$D:$D,Weekly_Local!$U:$U,"2022-23",Weekly_Local!$T:$T,$A166))</f>
        <v>0</v>
      </c>
      <c r="C166" s="5">
        <f>IF(COUNTIFS(Weekly_Local!$U:$U,"2023-24",Weekly_Local!$T:$T,$A166,Weekly_Local!$D:$D,"&lt;&gt;")=0,"",SUMIFS(Weekly_Local!$D:$D,Weekly_Local!$U:$U,"2023-24",Weekly_Local!$T:$T,$A166))</f>
        <v>0</v>
      </c>
      <c r="D166" s="5">
        <f>IF(COUNTIFS(Weekly_Local!$U:$U,"2024-25",Weekly_Local!$T:$T,$A166,Weekly_Local!$D:$D,"&lt;&gt;")=0,"",SUMIFS(Weekly_Local!$D:$D,Weekly_Local!$U:$U,"2024-25",Weekly_Local!$T:$T,$A166))</f>
        <v>0</v>
      </c>
      <c r="E166" s="5">
        <f>IF(COUNTIFS(Weekly_Local!$U:$U,"2025-26",Weekly_Local!$T:$T,$A166,Weekly_Local!$D:$D,"&lt;&gt;")=0,"",SUMIFS(Weekly_Local!$D:$D,Weekly_Local!$U:$U,"2025-26",Weekly_Local!$T:$T,$A166))</f>
        <v>0</v>
      </c>
      <c r="F166" s="5" t="str">
        <f>IF(COUNTIFS(Weekly_Local!$U:$U,"2026-27",Weekly_Local!$T:$T,$A166,Weekly_Local!$D:$D,"&lt;&gt;")=0,"",SUMIFS(Weekly_Local!$D:$D,Weekly_Local!$U:$U,"2026-27",Weekly_Local!$T:$T,$A166))</f>
        <v/>
      </c>
      <c r="G166" s="5" t="str">
        <f>IF(AND($A166=53,DATE(YEAR(Config!$B$3),1,4)-WEEKDAY(DATE(YEAR(Config!$B$3),1,4))+1+364&gt;=DATE(YEAR(Config!$B$3)+1,1,4)-WEEKDAY(DATE(YEAR(Config!$B$3)+1,1,4))+1),"",TEXT(DATE(YEAR(Config!$B$3)+IF($A166&gt;=36,0,1),1,4)-WEEKDAY(DATE(YEAR(Config!$B$3)+IF($A166&gt;=36,0,1),1,4))+1+7*($A166-1)+1,"m/d/yy")&amp;" – "&amp;TEXT(DATE(YEAR(Config!$B$3)+IF($A166&gt;=36,0,1),1,4)-WEEKDAY(DATE(YEAR(Config!$B$3)+IF($A166&gt;=36,0,1),1,4))+1+7*($A166-1)+7,"m/d/yy"))</f>
        <v>7/26/27 – 8/1/27</v>
      </c>
    </row>
    <row r="167" spans="1:7" x14ac:dyDescent="0.2">
      <c r="A167" s="5">
        <v>31</v>
      </c>
      <c r="B167" s="5">
        <f>IF(COUNTIFS(Weekly_Local!$U:$U,"2022-23",Weekly_Local!$T:$T,$A167,Weekly_Local!$D:$D,"&lt;&gt;")=0,"",SUMIFS(Weekly_Local!$D:$D,Weekly_Local!$U:$U,"2022-23",Weekly_Local!$T:$T,$A167))</f>
        <v>0</v>
      </c>
      <c r="C167" s="5">
        <f>IF(COUNTIFS(Weekly_Local!$U:$U,"2023-24",Weekly_Local!$T:$T,$A167,Weekly_Local!$D:$D,"&lt;&gt;")=0,"",SUMIFS(Weekly_Local!$D:$D,Weekly_Local!$U:$U,"2023-24",Weekly_Local!$T:$T,$A167))</f>
        <v>0</v>
      </c>
      <c r="D167" s="5">
        <f>IF(COUNTIFS(Weekly_Local!$U:$U,"2024-25",Weekly_Local!$T:$T,$A167,Weekly_Local!$D:$D,"&lt;&gt;")=0,"",SUMIFS(Weekly_Local!$D:$D,Weekly_Local!$U:$U,"2024-25",Weekly_Local!$T:$T,$A167))</f>
        <v>0</v>
      </c>
      <c r="E167" s="5">
        <f>IF(COUNTIFS(Weekly_Local!$U:$U,"2025-26",Weekly_Local!$T:$T,$A167,Weekly_Local!$D:$D,"&lt;&gt;")=0,"",SUMIFS(Weekly_Local!$D:$D,Weekly_Local!$U:$U,"2025-26",Weekly_Local!$T:$T,$A167))</f>
        <v>0</v>
      </c>
      <c r="F167" s="5" t="str">
        <f>IF(COUNTIFS(Weekly_Local!$U:$U,"2026-27",Weekly_Local!$T:$T,$A167,Weekly_Local!$D:$D,"&lt;&gt;")=0,"",SUMIFS(Weekly_Local!$D:$D,Weekly_Local!$U:$U,"2026-27",Weekly_Local!$T:$T,$A167))</f>
        <v/>
      </c>
      <c r="G167" s="5" t="str">
        <f>IF(AND($A167=53,DATE(YEAR(Config!$B$3),1,4)-WEEKDAY(DATE(YEAR(Config!$B$3),1,4))+1+364&gt;=DATE(YEAR(Config!$B$3)+1,1,4)-WEEKDAY(DATE(YEAR(Config!$B$3)+1,1,4))+1),"",TEXT(DATE(YEAR(Config!$B$3)+IF($A167&gt;=36,0,1),1,4)-WEEKDAY(DATE(YEAR(Config!$B$3)+IF($A167&gt;=36,0,1),1,4))+1+7*($A167-1)+1,"m/d/yy")&amp;" – "&amp;TEXT(DATE(YEAR(Config!$B$3)+IF($A167&gt;=36,0,1),1,4)-WEEKDAY(DATE(YEAR(Config!$B$3)+IF($A167&gt;=36,0,1),1,4))+1+7*($A167-1)+7,"m/d/yy"))</f>
        <v>8/2/27 – 8/8/27</v>
      </c>
    </row>
    <row r="168" spans="1:7" x14ac:dyDescent="0.2">
      <c r="A168" s="5">
        <v>32</v>
      </c>
      <c r="B168" s="5">
        <f>IF(COUNTIFS(Weekly_Local!$U:$U,"2022-23",Weekly_Local!$T:$T,$A168,Weekly_Local!$D:$D,"&lt;&gt;")=0,"",SUMIFS(Weekly_Local!$D:$D,Weekly_Local!$U:$U,"2022-23",Weekly_Local!$T:$T,$A168))</f>
        <v>0</v>
      </c>
      <c r="C168" s="5">
        <f>IF(COUNTIFS(Weekly_Local!$U:$U,"2023-24",Weekly_Local!$T:$T,$A168,Weekly_Local!$D:$D,"&lt;&gt;")=0,"",SUMIFS(Weekly_Local!$D:$D,Weekly_Local!$U:$U,"2023-24",Weekly_Local!$T:$T,$A168))</f>
        <v>0</v>
      </c>
      <c r="D168" s="5">
        <f>IF(COUNTIFS(Weekly_Local!$U:$U,"2024-25",Weekly_Local!$T:$T,$A168,Weekly_Local!$D:$D,"&lt;&gt;")=0,"",SUMIFS(Weekly_Local!$D:$D,Weekly_Local!$U:$U,"2024-25",Weekly_Local!$T:$T,$A168))</f>
        <v>0</v>
      </c>
      <c r="E168" s="5">
        <f>IF(COUNTIFS(Weekly_Local!$U:$U,"2025-26",Weekly_Local!$T:$T,$A168,Weekly_Local!$D:$D,"&lt;&gt;")=0,"",SUMIFS(Weekly_Local!$D:$D,Weekly_Local!$U:$U,"2025-26",Weekly_Local!$T:$T,$A168))</f>
        <v>0</v>
      </c>
      <c r="F168" s="5" t="str">
        <f>IF(COUNTIFS(Weekly_Local!$U:$U,"2026-27",Weekly_Local!$T:$T,$A168,Weekly_Local!$D:$D,"&lt;&gt;")=0,"",SUMIFS(Weekly_Local!$D:$D,Weekly_Local!$U:$U,"2026-27",Weekly_Local!$T:$T,$A168))</f>
        <v/>
      </c>
      <c r="G168" s="5" t="str">
        <f>IF(AND($A168=53,DATE(YEAR(Config!$B$3),1,4)-WEEKDAY(DATE(YEAR(Config!$B$3),1,4))+1+364&gt;=DATE(YEAR(Config!$B$3)+1,1,4)-WEEKDAY(DATE(YEAR(Config!$B$3)+1,1,4))+1),"",TEXT(DATE(YEAR(Config!$B$3)+IF($A168&gt;=36,0,1),1,4)-WEEKDAY(DATE(YEAR(Config!$B$3)+IF($A168&gt;=36,0,1),1,4))+1+7*($A168-1)+1,"m/d/yy")&amp;" – "&amp;TEXT(DATE(YEAR(Config!$B$3)+IF($A168&gt;=36,0,1),1,4)-WEEKDAY(DATE(YEAR(Config!$B$3)+IF($A168&gt;=36,0,1),1,4))+1+7*($A168-1)+7,"m/d/yy"))</f>
        <v>8/9/27 – 8/15/27</v>
      </c>
    </row>
    <row r="169" spans="1:7" x14ac:dyDescent="0.2">
      <c r="A169" s="5">
        <v>33</v>
      </c>
      <c r="B169" s="5">
        <f>IF(COUNTIFS(Weekly_Local!$U:$U,"2022-23",Weekly_Local!$T:$T,$A169,Weekly_Local!$D:$D,"&lt;&gt;")=0,"",SUMIFS(Weekly_Local!$D:$D,Weekly_Local!$U:$U,"2022-23",Weekly_Local!$T:$T,$A169))</f>
        <v>0</v>
      </c>
      <c r="C169" s="5">
        <f>IF(COUNTIFS(Weekly_Local!$U:$U,"2023-24",Weekly_Local!$T:$T,$A169,Weekly_Local!$D:$D,"&lt;&gt;")=0,"",SUMIFS(Weekly_Local!$D:$D,Weekly_Local!$U:$U,"2023-24",Weekly_Local!$T:$T,$A169))</f>
        <v>0</v>
      </c>
      <c r="D169" s="5">
        <f>IF(COUNTIFS(Weekly_Local!$U:$U,"2024-25",Weekly_Local!$T:$T,$A169,Weekly_Local!$D:$D,"&lt;&gt;")=0,"",SUMIFS(Weekly_Local!$D:$D,Weekly_Local!$U:$U,"2024-25",Weekly_Local!$T:$T,$A169))</f>
        <v>0</v>
      </c>
      <c r="E169" s="5">
        <f>IF(COUNTIFS(Weekly_Local!$U:$U,"2025-26",Weekly_Local!$T:$T,$A169,Weekly_Local!$D:$D,"&lt;&gt;")=0,"",SUMIFS(Weekly_Local!$D:$D,Weekly_Local!$U:$U,"2025-26",Weekly_Local!$T:$T,$A169))</f>
        <v>0</v>
      </c>
      <c r="F169" s="5" t="str">
        <f>IF(COUNTIFS(Weekly_Local!$U:$U,"2026-27",Weekly_Local!$T:$T,$A169,Weekly_Local!$D:$D,"&lt;&gt;")=0,"",SUMIFS(Weekly_Local!$D:$D,Weekly_Local!$U:$U,"2026-27",Weekly_Local!$T:$T,$A169))</f>
        <v/>
      </c>
      <c r="G169" s="5" t="str">
        <f>IF(AND($A169=53,DATE(YEAR(Config!$B$3),1,4)-WEEKDAY(DATE(YEAR(Config!$B$3),1,4))+1+364&gt;=DATE(YEAR(Config!$B$3)+1,1,4)-WEEKDAY(DATE(YEAR(Config!$B$3)+1,1,4))+1),"",TEXT(DATE(YEAR(Config!$B$3)+IF($A169&gt;=36,0,1),1,4)-WEEKDAY(DATE(YEAR(Config!$B$3)+IF($A169&gt;=36,0,1),1,4))+1+7*($A169-1)+1,"m/d/yy")&amp;" – "&amp;TEXT(DATE(YEAR(Config!$B$3)+IF($A169&gt;=36,0,1),1,4)-WEEKDAY(DATE(YEAR(Config!$B$3)+IF($A169&gt;=36,0,1),1,4))+1+7*($A169-1)+7,"m/d/yy"))</f>
        <v>8/16/27 – 8/22/27</v>
      </c>
    </row>
    <row r="170" spans="1:7" x14ac:dyDescent="0.2">
      <c r="A170" s="5">
        <v>34</v>
      </c>
      <c r="B170" s="5">
        <f>IF(COUNTIFS(Weekly_Local!$U:$U,"2022-23",Weekly_Local!$T:$T,$A170,Weekly_Local!$D:$D,"&lt;&gt;")=0,"",SUMIFS(Weekly_Local!$D:$D,Weekly_Local!$U:$U,"2022-23",Weekly_Local!$T:$T,$A170))</f>
        <v>0</v>
      </c>
      <c r="C170" s="5">
        <f>IF(COUNTIFS(Weekly_Local!$U:$U,"2023-24",Weekly_Local!$T:$T,$A170,Weekly_Local!$D:$D,"&lt;&gt;")=0,"",SUMIFS(Weekly_Local!$D:$D,Weekly_Local!$U:$U,"2023-24",Weekly_Local!$T:$T,$A170))</f>
        <v>0</v>
      </c>
      <c r="D170" s="5">
        <f>IF(COUNTIFS(Weekly_Local!$U:$U,"2024-25",Weekly_Local!$T:$T,$A170,Weekly_Local!$D:$D,"&lt;&gt;")=0,"",SUMIFS(Weekly_Local!$D:$D,Weekly_Local!$U:$U,"2024-25",Weekly_Local!$T:$T,$A170))</f>
        <v>0</v>
      </c>
      <c r="E170" s="5">
        <f>IF(COUNTIFS(Weekly_Local!$U:$U,"2025-26",Weekly_Local!$T:$T,$A170,Weekly_Local!$D:$D,"&lt;&gt;")=0,"",SUMIFS(Weekly_Local!$D:$D,Weekly_Local!$U:$U,"2025-26",Weekly_Local!$T:$T,$A170))</f>
        <v>0</v>
      </c>
      <c r="F170" s="5" t="str">
        <f>IF(COUNTIFS(Weekly_Local!$U:$U,"2026-27",Weekly_Local!$T:$T,$A170,Weekly_Local!$D:$D,"&lt;&gt;")=0,"",SUMIFS(Weekly_Local!$D:$D,Weekly_Local!$U:$U,"2026-27",Weekly_Local!$T:$T,$A170))</f>
        <v/>
      </c>
      <c r="G170" s="5" t="str">
        <f>IF(AND($A170=53,DATE(YEAR(Config!$B$3),1,4)-WEEKDAY(DATE(YEAR(Config!$B$3),1,4))+1+364&gt;=DATE(YEAR(Config!$B$3)+1,1,4)-WEEKDAY(DATE(YEAR(Config!$B$3)+1,1,4))+1),"",TEXT(DATE(YEAR(Config!$B$3)+IF($A170&gt;=36,0,1),1,4)-WEEKDAY(DATE(YEAR(Config!$B$3)+IF($A170&gt;=36,0,1),1,4))+1+7*($A170-1)+1,"m/d/yy")&amp;" – "&amp;TEXT(DATE(YEAR(Config!$B$3)+IF($A170&gt;=36,0,1),1,4)-WEEKDAY(DATE(YEAR(Config!$B$3)+IF($A170&gt;=36,0,1),1,4))+1+7*($A170-1)+7,"m/d/yy"))</f>
        <v>8/23/27 – 8/29/27</v>
      </c>
    </row>
    <row r="171" spans="1:7" x14ac:dyDescent="0.2">
      <c r="A171" s="5">
        <v>35</v>
      </c>
      <c r="B171" s="5">
        <f>IF(COUNTIFS(Weekly_Local!$U:$U,"2022-23",Weekly_Local!$T:$T,$A171,Weekly_Local!$D:$D,"&lt;&gt;")=0,"",SUMIFS(Weekly_Local!$D:$D,Weekly_Local!$U:$U,"2022-23",Weekly_Local!$T:$T,$A171))</f>
        <v>0</v>
      </c>
      <c r="C171" s="5">
        <f>IF(COUNTIFS(Weekly_Local!$U:$U,"2023-24",Weekly_Local!$T:$T,$A171,Weekly_Local!$D:$D,"&lt;&gt;")=0,"",SUMIFS(Weekly_Local!$D:$D,Weekly_Local!$U:$U,"2023-24",Weekly_Local!$T:$T,$A171))</f>
        <v>0</v>
      </c>
      <c r="D171" s="5">
        <f>IF(COUNTIFS(Weekly_Local!$U:$U,"2024-25",Weekly_Local!$T:$T,$A171,Weekly_Local!$D:$D,"&lt;&gt;")=0,"",SUMIFS(Weekly_Local!$D:$D,Weekly_Local!$U:$U,"2024-25",Weekly_Local!$T:$T,$A171))</f>
        <v>0</v>
      </c>
      <c r="E171" s="5">
        <f>IF(COUNTIFS(Weekly_Local!$U:$U,"2025-26",Weekly_Local!$T:$T,$A171,Weekly_Local!$D:$D,"&lt;&gt;")=0,"",SUMIFS(Weekly_Local!$D:$D,Weekly_Local!$U:$U,"2025-26",Weekly_Local!$T:$T,$A171))</f>
        <v>0</v>
      </c>
      <c r="F171" s="5" t="str">
        <f>IF(COUNTIFS(Weekly_Local!$U:$U,"2026-27",Weekly_Local!$T:$T,$A171,Weekly_Local!$D:$D,"&lt;&gt;")=0,"",SUMIFS(Weekly_Local!$D:$D,Weekly_Local!$U:$U,"2026-27",Weekly_Local!$T:$T,$A171))</f>
        <v/>
      </c>
      <c r="G171" s="5" t="str">
        <f>IF(AND($A171=53,DATE(YEAR(Config!$B$3),1,4)-WEEKDAY(DATE(YEAR(Config!$B$3),1,4))+1+364&gt;=DATE(YEAR(Config!$B$3)+1,1,4)-WEEKDAY(DATE(YEAR(Config!$B$3)+1,1,4))+1),"",TEXT(DATE(YEAR(Config!$B$3)+IF($A171&gt;=36,0,1),1,4)-WEEKDAY(DATE(YEAR(Config!$B$3)+IF($A171&gt;=36,0,1),1,4))+1+7*($A171-1)+1,"m/d/yy")&amp;" – "&amp;TEXT(DATE(YEAR(Config!$B$3)+IF($A171&gt;=36,0,1),1,4)-WEEKDAY(DATE(YEAR(Config!$B$3)+IF($A171&gt;=36,0,1),1,4))+1+7*($A171-1)+7,"m/d/yy"))</f>
        <v>8/30/27 – 9/5/27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3"/>
  <sheetViews>
    <sheetView zoomScaleNormal="100" workbookViewId="0">
      <pane ySplit="1" topLeftCell="A82" activePane="bottomLeft" state="frozen"/>
      <selection pane="bottomLeft"/>
    </sheetView>
  </sheetViews>
  <sheetFormatPr baseColWidth="10" defaultColWidth="8.6640625" defaultRowHeight="15" x14ac:dyDescent="0.2"/>
  <cols>
    <col min="1" max="12" width="12" customWidth="1"/>
    <col min="13" max="13" width="9" customWidth="1"/>
    <col min="14" max="14" width="60" customWidth="1"/>
  </cols>
  <sheetData>
    <row r="1" spans="1:14" ht="31.5" customHeight="1" x14ac:dyDescent="0.2">
      <c r="A1" s="4" t="s">
        <v>39</v>
      </c>
      <c r="B1" s="4" t="s">
        <v>81</v>
      </c>
      <c r="C1" s="4" t="s">
        <v>82</v>
      </c>
      <c r="D1" s="4" t="s">
        <v>83</v>
      </c>
      <c r="E1" s="4" t="s">
        <v>80</v>
      </c>
      <c r="F1" s="4" t="s">
        <v>84</v>
      </c>
      <c r="G1" s="4" t="s">
        <v>85</v>
      </c>
      <c r="H1" s="4" t="s">
        <v>86</v>
      </c>
      <c r="I1" s="4" t="s">
        <v>87</v>
      </c>
      <c r="J1" s="4" t="s">
        <v>88</v>
      </c>
      <c r="K1" s="4" t="s">
        <v>89</v>
      </c>
      <c r="L1" s="4" t="s">
        <v>90</v>
      </c>
      <c r="M1" s="4" t="s">
        <v>91</v>
      </c>
      <c r="N1" s="4" t="s">
        <v>21</v>
      </c>
    </row>
    <row r="2" spans="1:14" x14ac:dyDescent="0.2">
      <c r="A2" s="8">
        <v>45565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/>
      <c r="H2" s="6">
        <v>0</v>
      </c>
      <c r="I2" s="6"/>
      <c r="J2" s="6"/>
      <c r="K2" s="6"/>
      <c r="L2" s="6">
        <v>0</v>
      </c>
      <c r="M2" s="6">
        <v>1</v>
      </c>
      <c r="N2" s="7" t="s">
        <v>92</v>
      </c>
    </row>
    <row r="3" spans="1:14" x14ac:dyDescent="0.2">
      <c r="A3" s="8">
        <v>45572</v>
      </c>
      <c r="B3" s="6">
        <v>198.74</v>
      </c>
      <c r="C3" s="6">
        <v>4.6100000000000003</v>
      </c>
      <c r="D3" s="6">
        <v>0</v>
      </c>
      <c r="E3" s="6">
        <v>0</v>
      </c>
      <c r="F3" s="6">
        <v>0</v>
      </c>
      <c r="G3" s="6"/>
      <c r="H3" s="6">
        <v>0</v>
      </c>
      <c r="I3" s="6"/>
      <c r="J3" s="6"/>
      <c r="K3" s="6"/>
      <c r="L3" s="6">
        <v>0</v>
      </c>
      <c r="M3" s="6">
        <v>2</v>
      </c>
      <c r="N3" s="7"/>
    </row>
    <row r="4" spans="1:14" x14ac:dyDescent="0.2">
      <c r="A4" s="8">
        <v>45579</v>
      </c>
      <c r="B4" s="6">
        <v>124.52</v>
      </c>
      <c r="C4" s="6">
        <v>0</v>
      </c>
      <c r="D4" s="6">
        <v>1.0900000000000001</v>
      </c>
      <c r="E4" s="6">
        <v>0</v>
      </c>
      <c r="F4" s="6">
        <v>0</v>
      </c>
      <c r="G4" s="6"/>
      <c r="H4" s="6">
        <v>0</v>
      </c>
      <c r="I4" s="6"/>
      <c r="J4" s="6"/>
      <c r="K4" s="6"/>
      <c r="L4" s="6">
        <v>0</v>
      </c>
      <c r="M4" s="6">
        <v>2</v>
      </c>
      <c r="N4" s="7"/>
    </row>
    <row r="5" spans="1:14" x14ac:dyDescent="0.2">
      <c r="A5" s="8">
        <v>45586</v>
      </c>
      <c r="B5" s="6">
        <v>68.459999999999994</v>
      </c>
      <c r="C5" s="6">
        <v>0</v>
      </c>
      <c r="D5" s="6">
        <v>0</v>
      </c>
      <c r="E5" s="6">
        <v>0</v>
      </c>
      <c r="F5" s="6">
        <v>0</v>
      </c>
      <c r="G5" s="6"/>
      <c r="H5" s="6">
        <v>0</v>
      </c>
      <c r="I5" s="6"/>
      <c r="J5" s="6"/>
      <c r="K5" s="6"/>
      <c r="L5" s="6">
        <v>0</v>
      </c>
      <c r="M5" s="6">
        <v>2</v>
      </c>
      <c r="N5" s="7"/>
    </row>
    <row r="6" spans="1:14" x14ac:dyDescent="0.2">
      <c r="A6" s="8">
        <v>45593</v>
      </c>
      <c r="B6" s="6">
        <v>345.68</v>
      </c>
      <c r="C6" s="6">
        <v>0</v>
      </c>
      <c r="D6" s="6">
        <v>0</v>
      </c>
      <c r="E6" s="6">
        <v>0</v>
      </c>
      <c r="F6" s="6">
        <v>0</v>
      </c>
      <c r="G6" s="6"/>
      <c r="H6" s="6">
        <v>0</v>
      </c>
      <c r="I6" s="6"/>
      <c r="J6" s="6"/>
      <c r="K6" s="6"/>
      <c r="L6" s="6">
        <v>0</v>
      </c>
      <c r="M6" s="6">
        <v>2</v>
      </c>
      <c r="N6" s="7"/>
    </row>
    <row r="7" spans="1:14" x14ac:dyDescent="0.2">
      <c r="A7" s="8">
        <v>45600</v>
      </c>
      <c r="B7" s="6">
        <v>355.7</v>
      </c>
      <c r="C7" s="6">
        <v>2.17</v>
      </c>
      <c r="D7" s="6">
        <v>0</v>
      </c>
      <c r="E7" s="6">
        <v>0</v>
      </c>
      <c r="F7" s="6">
        <v>0</v>
      </c>
      <c r="G7" s="6"/>
      <c r="H7" s="6">
        <v>0</v>
      </c>
      <c r="I7" s="6"/>
      <c r="J7" s="6"/>
      <c r="K7" s="6"/>
      <c r="L7" s="6">
        <v>0</v>
      </c>
      <c r="M7" s="6">
        <v>2</v>
      </c>
      <c r="N7" s="7"/>
    </row>
    <row r="8" spans="1:14" x14ac:dyDescent="0.2">
      <c r="A8" s="8">
        <v>45607</v>
      </c>
      <c r="B8" s="6">
        <v>250.53</v>
      </c>
      <c r="C8" s="6">
        <v>5.8</v>
      </c>
      <c r="D8" s="6">
        <v>0</v>
      </c>
      <c r="E8" s="6">
        <v>3.09</v>
      </c>
      <c r="F8" s="6">
        <v>5.16</v>
      </c>
      <c r="G8" s="6"/>
      <c r="H8" s="6">
        <v>0</v>
      </c>
      <c r="I8" s="6"/>
      <c r="J8" s="6"/>
      <c r="K8" s="6"/>
      <c r="L8" s="6">
        <v>0</v>
      </c>
      <c r="M8" s="6">
        <v>2</v>
      </c>
      <c r="N8" s="7"/>
    </row>
    <row r="9" spans="1:14" x14ac:dyDescent="0.2">
      <c r="A9" s="8">
        <v>45614</v>
      </c>
      <c r="B9" s="6">
        <v>254.88</v>
      </c>
      <c r="C9" s="6">
        <v>46.49</v>
      </c>
      <c r="D9" s="6">
        <v>0</v>
      </c>
      <c r="E9" s="6">
        <v>0</v>
      </c>
      <c r="F9" s="6">
        <v>57.39</v>
      </c>
      <c r="G9" s="6">
        <v>0</v>
      </c>
      <c r="H9" s="6">
        <v>0</v>
      </c>
      <c r="I9" s="6"/>
      <c r="J9" s="6"/>
      <c r="K9" s="6"/>
      <c r="L9" s="6">
        <v>0</v>
      </c>
      <c r="M9" s="6">
        <v>2</v>
      </c>
      <c r="N9" s="7"/>
    </row>
    <row r="10" spans="1:14" x14ac:dyDescent="0.2">
      <c r="A10" s="8">
        <v>45621</v>
      </c>
      <c r="B10" s="6">
        <v>169.97</v>
      </c>
      <c r="C10" s="6">
        <v>63.61</v>
      </c>
      <c r="D10" s="6">
        <v>2.78</v>
      </c>
      <c r="E10" s="6">
        <v>3.49</v>
      </c>
      <c r="F10" s="6">
        <v>51.6</v>
      </c>
      <c r="G10" s="6">
        <v>1.1399999999999999</v>
      </c>
      <c r="H10" s="6">
        <v>0</v>
      </c>
      <c r="I10" s="6"/>
      <c r="J10" s="6"/>
      <c r="K10" s="6"/>
      <c r="L10" s="6">
        <v>0</v>
      </c>
      <c r="M10" s="6">
        <v>2</v>
      </c>
      <c r="N10" s="7"/>
    </row>
    <row r="11" spans="1:14" x14ac:dyDescent="0.2">
      <c r="A11" s="8">
        <v>45628</v>
      </c>
      <c r="B11" s="6">
        <v>263.43</v>
      </c>
      <c r="C11" s="6">
        <v>150.16999999999999</v>
      </c>
      <c r="D11" s="6">
        <v>0</v>
      </c>
      <c r="E11" s="6">
        <v>5.99</v>
      </c>
      <c r="F11" s="6">
        <v>39.17</v>
      </c>
      <c r="G11" s="6">
        <v>10.54</v>
      </c>
      <c r="H11" s="6">
        <v>9.36</v>
      </c>
      <c r="I11" s="6"/>
      <c r="J11" s="6"/>
      <c r="K11" s="6"/>
      <c r="L11" s="6">
        <v>0</v>
      </c>
      <c r="M11" s="6">
        <v>2</v>
      </c>
      <c r="N11" s="7"/>
    </row>
    <row r="12" spans="1:14" x14ac:dyDescent="0.2">
      <c r="A12" s="8">
        <v>45635</v>
      </c>
      <c r="B12" s="6">
        <v>194.66</v>
      </c>
      <c r="C12" s="6">
        <v>127.98</v>
      </c>
      <c r="D12" s="6">
        <v>1.31</v>
      </c>
      <c r="E12" s="6">
        <v>25.9</v>
      </c>
      <c r="F12" s="6">
        <v>18.38</v>
      </c>
      <c r="G12" s="6">
        <v>31.23</v>
      </c>
      <c r="H12" s="6">
        <v>12.25</v>
      </c>
      <c r="I12" s="6"/>
      <c r="J12" s="6"/>
      <c r="K12" s="6"/>
      <c r="L12" s="6">
        <v>0</v>
      </c>
      <c r="M12" s="6">
        <v>2</v>
      </c>
      <c r="N12" s="7"/>
    </row>
    <row r="13" spans="1:14" x14ac:dyDescent="0.2">
      <c r="A13" s="8">
        <v>45642</v>
      </c>
      <c r="B13" s="6">
        <v>331.08</v>
      </c>
      <c r="C13" s="6">
        <v>212.31</v>
      </c>
      <c r="D13" s="6">
        <v>15.14</v>
      </c>
      <c r="E13" s="6">
        <v>10.32</v>
      </c>
      <c r="F13" s="6">
        <v>30.41</v>
      </c>
      <c r="G13" s="6">
        <v>107.9</v>
      </c>
      <c r="H13" s="6">
        <v>6.53</v>
      </c>
      <c r="I13" s="6"/>
      <c r="J13" s="6"/>
      <c r="K13" s="6"/>
      <c r="L13" s="6">
        <v>0</v>
      </c>
      <c r="M13" s="6">
        <v>2</v>
      </c>
      <c r="N13" s="7"/>
    </row>
    <row r="14" spans="1:14" x14ac:dyDescent="0.2">
      <c r="A14" s="8">
        <v>45649</v>
      </c>
      <c r="B14" s="6">
        <v>192.2</v>
      </c>
      <c r="C14" s="6">
        <v>357</v>
      </c>
      <c r="D14" s="6">
        <v>89.61</v>
      </c>
      <c r="E14" s="6">
        <v>74.81</v>
      </c>
      <c r="F14" s="6">
        <v>8.81</v>
      </c>
      <c r="G14" s="6">
        <v>191.15</v>
      </c>
      <c r="H14" s="6">
        <v>67.569999999999993</v>
      </c>
      <c r="I14" s="6"/>
      <c r="J14" s="6"/>
      <c r="K14" s="6"/>
      <c r="L14" s="6">
        <v>0</v>
      </c>
      <c r="M14" s="6">
        <v>2</v>
      </c>
      <c r="N14" s="7"/>
    </row>
    <row r="15" spans="1:14" x14ac:dyDescent="0.2">
      <c r="A15" s="8">
        <v>45656</v>
      </c>
      <c r="B15" s="6">
        <v>292.19</v>
      </c>
      <c r="C15" s="6">
        <v>257.27</v>
      </c>
      <c r="D15" s="6">
        <v>3.51</v>
      </c>
      <c r="E15" s="6">
        <v>40.32</v>
      </c>
      <c r="F15" s="6">
        <v>8.3000000000000007</v>
      </c>
      <c r="G15" s="6">
        <v>57.91</v>
      </c>
      <c r="H15" s="6">
        <v>36.409999999999997</v>
      </c>
      <c r="I15" s="6"/>
      <c r="J15" s="6">
        <v>0</v>
      </c>
      <c r="K15" s="6"/>
      <c r="L15" s="6">
        <v>0</v>
      </c>
      <c r="M15" s="6">
        <v>2</v>
      </c>
      <c r="N15" s="7"/>
    </row>
    <row r="16" spans="1:14" x14ac:dyDescent="0.2">
      <c r="A16" s="8">
        <v>45663</v>
      </c>
      <c r="B16" s="6">
        <v>308.20999999999998</v>
      </c>
      <c r="C16" s="6">
        <v>165.29</v>
      </c>
      <c r="D16" s="6">
        <v>10.07</v>
      </c>
      <c r="E16" s="6">
        <v>26.75</v>
      </c>
      <c r="F16" s="6">
        <v>4.43</v>
      </c>
      <c r="G16" s="6">
        <v>46.81</v>
      </c>
      <c r="H16" s="6">
        <v>32.24</v>
      </c>
      <c r="I16" s="6"/>
      <c r="J16" s="6">
        <v>0</v>
      </c>
      <c r="K16" s="6"/>
      <c r="L16" s="6">
        <v>0</v>
      </c>
      <c r="M16" s="6">
        <v>2</v>
      </c>
      <c r="N16" s="7"/>
    </row>
    <row r="17" spans="1:14" x14ac:dyDescent="0.2">
      <c r="A17" s="8">
        <v>45670</v>
      </c>
      <c r="B17" s="6">
        <v>141.4</v>
      </c>
      <c r="C17" s="6">
        <v>133.06</v>
      </c>
      <c r="D17" s="6">
        <v>11.25</v>
      </c>
      <c r="E17" s="6">
        <v>40.39</v>
      </c>
      <c r="F17" s="6">
        <v>8.0299999999999994</v>
      </c>
      <c r="G17" s="6">
        <v>37.26</v>
      </c>
      <c r="H17" s="6">
        <v>8.0299999999999994</v>
      </c>
      <c r="I17" s="6"/>
      <c r="J17" s="6">
        <v>0</v>
      </c>
      <c r="K17" s="6"/>
      <c r="L17" s="6">
        <v>0</v>
      </c>
      <c r="M17" s="6">
        <v>2</v>
      </c>
      <c r="N17" s="7"/>
    </row>
    <row r="18" spans="1:14" x14ac:dyDescent="0.2">
      <c r="A18" s="8">
        <v>45677</v>
      </c>
      <c r="B18" s="6">
        <v>87.7</v>
      </c>
      <c r="C18" s="6">
        <v>185.36</v>
      </c>
      <c r="D18" s="6">
        <v>0</v>
      </c>
      <c r="E18" s="6">
        <v>84.04</v>
      </c>
      <c r="F18" s="6">
        <v>9.8000000000000007</v>
      </c>
      <c r="G18" s="6">
        <v>66.97</v>
      </c>
      <c r="H18" s="6">
        <v>7.62</v>
      </c>
      <c r="I18" s="6"/>
      <c r="J18" s="6">
        <v>0</v>
      </c>
      <c r="K18" s="6"/>
      <c r="L18" s="6">
        <v>0</v>
      </c>
      <c r="M18" s="6">
        <v>1</v>
      </c>
      <c r="N18" s="7"/>
    </row>
    <row r="19" spans="1:14" x14ac:dyDescent="0.2">
      <c r="A19" s="8">
        <v>45684</v>
      </c>
      <c r="B19" s="6">
        <v>392.57</v>
      </c>
      <c r="C19" s="6">
        <v>418.76</v>
      </c>
      <c r="D19" s="6">
        <v>51.76</v>
      </c>
      <c r="E19" s="6">
        <v>157.4</v>
      </c>
      <c r="F19" s="6">
        <v>0</v>
      </c>
      <c r="G19" s="6">
        <v>221.06</v>
      </c>
      <c r="H19" s="6">
        <v>18.87</v>
      </c>
      <c r="I19" s="6"/>
      <c r="J19" s="6">
        <v>0</v>
      </c>
      <c r="K19" s="6"/>
      <c r="L19" s="6">
        <v>0</v>
      </c>
      <c r="M19" s="6">
        <v>2</v>
      </c>
      <c r="N19" s="7"/>
    </row>
    <row r="20" spans="1:14" x14ac:dyDescent="0.2">
      <c r="A20" s="8">
        <v>45691</v>
      </c>
      <c r="B20" s="6">
        <v>502.04</v>
      </c>
      <c r="C20" s="6">
        <v>463.3</v>
      </c>
      <c r="D20" s="6">
        <v>38.590000000000003</v>
      </c>
      <c r="E20" s="6">
        <v>246.3</v>
      </c>
      <c r="F20" s="6">
        <v>5.22</v>
      </c>
      <c r="G20" s="6">
        <v>147.13</v>
      </c>
      <c r="H20" s="6">
        <v>61.24</v>
      </c>
      <c r="I20" s="6"/>
      <c r="J20" s="6">
        <v>0</v>
      </c>
      <c r="K20" s="6"/>
      <c r="L20" s="6">
        <v>0</v>
      </c>
      <c r="M20" s="6">
        <v>2</v>
      </c>
      <c r="N20" s="7"/>
    </row>
    <row r="21" spans="1:14" x14ac:dyDescent="0.2">
      <c r="A21" s="8">
        <v>45698</v>
      </c>
      <c r="B21" s="6">
        <v>438.97</v>
      </c>
      <c r="C21" s="6">
        <v>139.61000000000001</v>
      </c>
      <c r="D21" s="6">
        <v>58.12</v>
      </c>
      <c r="E21" s="6">
        <v>52.23</v>
      </c>
      <c r="F21" s="6">
        <v>0</v>
      </c>
      <c r="G21" s="6">
        <v>98.63</v>
      </c>
      <c r="H21" s="6">
        <v>1.96</v>
      </c>
      <c r="I21" s="6"/>
      <c r="J21" s="6">
        <v>0</v>
      </c>
      <c r="K21" s="6"/>
      <c r="L21" s="6">
        <v>0</v>
      </c>
      <c r="M21" s="6">
        <v>2</v>
      </c>
      <c r="N21" s="7"/>
    </row>
    <row r="22" spans="1:14" x14ac:dyDescent="0.2">
      <c r="A22" s="8">
        <v>45705</v>
      </c>
      <c r="B22" s="6">
        <v>210.2</v>
      </c>
      <c r="C22" s="6">
        <v>34.450000000000003</v>
      </c>
      <c r="D22" s="6">
        <v>63.74</v>
      </c>
      <c r="E22" s="6">
        <v>665.63</v>
      </c>
      <c r="F22" s="6">
        <v>2.4</v>
      </c>
      <c r="G22" s="6">
        <v>37.979999999999997</v>
      </c>
      <c r="H22" s="6">
        <v>1.44</v>
      </c>
      <c r="I22" s="6"/>
      <c r="J22" s="6">
        <v>0</v>
      </c>
      <c r="K22" s="6"/>
      <c r="L22" s="6">
        <v>0</v>
      </c>
      <c r="M22" s="6">
        <v>2</v>
      </c>
      <c r="N22" s="7"/>
    </row>
    <row r="23" spans="1:14" x14ac:dyDescent="0.2">
      <c r="A23" s="8">
        <v>45712</v>
      </c>
      <c r="B23" s="6">
        <v>37.06</v>
      </c>
      <c r="C23" s="6">
        <v>79.58</v>
      </c>
      <c r="D23" s="6">
        <v>11.89</v>
      </c>
      <c r="E23" s="6">
        <v>18.75</v>
      </c>
      <c r="F23" s="6">
        <v>0</v>
      </c>
      <c r="G23" s="6">
        <v>42.29</v>
      </c>
      <c r="H23" s="6">
        <v>3.62</v>
      </c>
      <c r="I23" s="6"/>
      <c r="J23" s="6">
        <v>0</v>
      </c>
      <c r="K23" s="6"/>
      <c r="L23" s="6">
        <v>0</v>
      </c>
      <c r="M23" s="6">
        <v>2</v>
      </c>
      <c r="N23" s="7"/>
    </row>
    <row r="24" spans="1:14" x14ac:dyDescent="0.2">
      <c r="A24" s="8">
        <v>45719</v>
      </c>
      <c r="B24" s="6">
        <v>116.86</v>
      </c>
      <c r="C24" s="6">
        <v>17.7</v>
      </c>
      <c r="D24" s="6">
        <v>9.4700000000000006</v>
      </c>
      <c r="E24" s="6">
        <v>36.78</v>
      </c>
      <c r="F24" s="6">
        <v>0</v>
      </c>
      <c r="G24" s="6">
        <v>20.9</v>
      </c>
      <c r="H24" s="6">
        <v>0</v>
      </c>
      <c r="I24" s="6"/>
      <c r="J24" s="6">
        <v>0</v>
      </c>
      <c r="K24" s="6"/>
      <c r="L24" s="6">
        <v>0</v>
      </c>
      <c r="M24" s="6">
        <v>2</v>
      </c>
      <c r="N24" s="7"/>
    </row>
    <row r="25" spans="1:14" x14ac:dyDescent="0.2">
      <c r="A25" s="8">
        <v>45726</v>
      </c>
      <c r="B25" s="6">
        <v>131.91999999999999</v>
      </c>
      <c r="C25" s="6">
        <v>28.13</v>
      </c>
      <c r="D25" s="6">
        <v>0</v>
      </c>
      <c r="E25" s="6">
        <v>63.29</v>
      </c>
      <c r="F25" s="6">
        <v>0</v>
      </c>
      <c r="G25" s="6">
        <v>21.78</v>
      </c>
      <c r="H25" s="6">
        <v>0</v>
      </c>
      <c r="I25" s="6"/>
      <c r="J25" s="6">
        <v>0</v>
      </c>
      <c r="K25" s="6"/>
      <c r="L25" s="6">
        <v>0</v>
      </c>
      <c r="M25" s="6">
        <v>2</v>
      </c>
      <c r="N25" s="7"/>
    </row>
    <row r="26" spans="1:14" x14ac:dyDescent="0.2">
      <c r="A26" s="8">
        <v>45733</v>
      </c>
      <c r="B26" s="6">
        <v>878.13</v>
      </c>
      <c r="C26" s="6">
        <v>54.39</v>
      </c>
      <c r="D26" s="6">
        <v>21.93</v>
      </c>
      <c r="E26" s="6">
        <v>40.92</v>
      </c>
      <c r="F26" s="6">
        <v>0</v>
      </c>
      <c r="G26" s="6">
        <v>73.88</v>
      </c>
      <c r="H26" s="6">
        <v>3.24</v>
      </c>
      <c r="I26" s="6"/>
      <c r="J26" s="6">
        <v>0</v>
      </c>
      <c r="K26" s="6"/>
      <c r="L26" s="6">
        <v>0</v>
      </c>
      <c r="M26" s="6">
        <v>2</v>
      </c>
      <c r="N26" s="7"/>
    </row>
    <row r="27" spans="1:14" x14ac:dyDescent="0.2">
      <c r="A27" s="8">
        <v>45740</v>
      </c>
      <c r="B27" s="6">
        <v>154.57</v>
      </c>
      <c r="C27" s="6">
        <v>19.600000000000001</v>
      </c>
      <c r="D27" s="6">
        <v>15.9</v>
      </c>
      <c r="E27" s="6">
        <v>12.34</v>
      </c>
      <c r="F27" s="6">
        <v>0</v>
      </c>
      <c r="G27" s="6">
        <v>7.23</v>
      </c>
      <c r="H27" s="6">
        <v>2.67</v>
      </c>
      <c r="I27" s="6"/>
      <c r="J27" s="6">
        <v>0</v>
      </c>
      <c r="K27" s="6"/>
      <c r="L27" s="6">
        <v>0</v>
      </c>
      <c r="M27" s="6">
        <v>2</v>
      </c>
      <c r="N27" s="7"/>
    </row>
    <row r="28" spans="1:14" x14ac:dyDescent="0.2">
      <c r="A28" s="8">
        <v>45747</v>
      </c>
      <c r="B28" s="6">
        <v>191.31</v>
      </c>
      <c r="C28" s="6">
        <v>18.95</v>
      </c>
      <c r="D28" s="6">
        <v>35.49</v>
      </c>
      <c r="E28" s="6">
        <v>114.25</v>
      </c>
      <c r="F28" s="6">
        <v>0</v>
      </c>
      <c r="G28" s="6">
        <v>7.13</v>
      </c>
      <c r="H28" s="6">
        <v>0</v>
      </c>
      <c r="I28" s="6"/>
      <c r="J28" s="6">
        <v>0</v>
      </c>
      <c r="K28" s="6"/>
      <c r="L28" s="6">
        <v>0</v>
      </c>
      <c r="M28" s="6">
        <v>2</v>
      </c>
      <c r="N28" s="7"/>
    </row>
    <row r="29" spans="1:14" x14ac:dyDescent="0.2">
      <c r="A29" s="8">
        <v>45754</v>
      </c>
      <c r="B29" s="6">
        <v>151.66</v>
      </c>
      <c r="C29" s="6">
        <v>0</v>
      </c>
      <c r="D29" s="6">
        <v>6.64</v>
      </c>
      <c r="E29" s="6">
        <v>0</v>
      </c>
      <c r="F29" s="6">
        <v>0</v>
      </c>
      <c r="G29" s="6">
        <v>0</v>
      </c>
      <c r="H29" s="6">
        <v>0</v>
      </c>
      <c r="I29" s="6"/>
      <c r="J29" s="6">
        <v>0</v>
      </c>
      <c r="K29" s="6"/>
      <c r="L29" s="6">
        <v>0</v>
      </c>
      <c r="M29" s="6">
        <v>2</v>
      </c>
      <c r="N29" s="7"/>
    </row>
    <row r="30" spans="1:14" x14ac:dyDescent="0.2">
      <c r="A30" s="8">
        <v>45761</v>
      </c>
      <c r="B30" s="6">
        <v>140.51</v>
      </c>
      <c r="C30" s="6">
        <v>3.35</v>
      </c>
      <c r="D30" s="6">
        <v>30.81</v>
      </c>
      <c r="E30" s="6">
        <v>3.35</v>
      </c>
      <c r="F30" s="6">
        <v>0</v>
      </c>
      <c r="G30" s="6">
        <v>8.4499999999999993</v>
      </c>
      <c r="H30" s="6">
        <v>0</v>
      </c>
      <c r="I30" s="6"/>
      <c r="J30" s="6">
        <v>0</v>
      </c>
      <c r="K30" s="6"/>
      <c r="L30" s="6">
        <v>0</v>
      </c>
      <c r="M30" s="6">
        <v>2</v>
      </c>
      <c r="N30" s="7"/>
    </row>
    <row r="31" spans="1:14" x14ac:dyDescent="0.2">
      <c r="A31" s="8">
        <v>45768</v>
      </c>
      <c r="B31" s="6">
        <v>91.45</v>
      </c>
      <c r="C31" s="6">
        <v>0</v>
      </c>
      <c r="D31" s="6">
        <v>21.49</v>
      </c>
      <c r="E31" s="6">
        <v>34.64</v>
      </c>
      <c r="F31" s="6">
        <v>0</v>
      </c>
      <c r="G31" s="6">
        <v>0</v>
      </c>
      <c r="H31" s="6">
        <v>0</v>
      </c>
      <c r="I31" s="6"/>
      <c r="J31" s="6">
        <v>0</v>
      </c>
      <c r="K31" s="6"/>
      <c r="L31" s="6">
        <v>0</v>
      </c>
      <c r="M31" s="6">
        <v>2</v>
      </c>
      <c r="N31" s="7"/>
    </row>
    <row r="32" spans="1:14" x14ac:dyDescent="0.2">
      <c r="A32" s="8">
        <v>45775</v>
      </c>
      <c r="B32" s="6">
        <v>98.2</v>
      </c>
      <c r="C32" s="6">
        <v>3.13</v>
      </c>
      <c r="D32" s="6">
        <v>9.39</v>
      </c>
      <c r="E32" s="6">
        <v>4.6399999999999997</v>
      </c>
      <c r="F32" s="6">
        <v>0</v>
      </c>
      <c r="G32" s="6">
        <v>0</v>
      </c>
      <c r="H32" s="6">
        <v>0</v>
      </c>
      <c r="I32" s="6"/>
      <c r="J32" s="6">
        <v>0</v>
      </c>
      <c r="K32" s="6"/>
      <c r="L32" s="6">
        <v>0</v>
      </c>
      <c r="M32" s="6">
        <v>2</v>
      </c>
      <c r="N32" s="7"/>
    </row>
    <row r="33" spans="1:14" x14ac:dyDescent="0.2">
      <c r="A33" s="8">
        <v>45782</v>
      </c>
      <c r="B33" s="6">
        <v>131.66999999999999</v>
      </c>
      <c r="C33" s="6">
        <v>0</v>
      </c>
      <c r="D33" s="6">
        <v>4.47</v>
      </c>
      <c r="E33" s="6">
        <v>0</v>
      </c>
      <c r="F33" s="6">
        <v>0</v>
      </c>
      <c r="G33" s="6">
        <v>0</v>
      </c>
      <c r="H33" s="6">
        <v>0</v>
      </c>
      <c r="I33" s="6"/>
      <c r="J33" s="6">
        <v>0</v>
      </c>
      <c r="K33" s="6"/>
      <c r="L33" s="6">
        <v>0</v>
      </c>
      <c r="M33" s="6">
        <v>2</v>
      </c>
      <c r="N33" s="7"/>
    </row>
    <row r="34" spans="1:14" x14ac:dyDescent="0.2">
      <c r="A34" s="8">
        <v>45789</v>
      </c>
      <c r="B34" s="6">
        <v>125.13</v>
      </c>
      <c r="C34" s="6">
        <v>0</v>
      </c>
      <c r="D34" s="6">
        <v>4.21</v>
      </c>
      <c r="E34" s="6">
        <v>1.8</v>
      </c>
      <c r="F34" s="6">
        <v>0</v>
      </c>
      <c r="G34" s="6">
        <v>0</v>
      </c>
      <c r="H34" s="6">
        <v>0</v>
      </c>
      <c r="I34" s="6"/>
      <c r="J34" s="6">
        <v>0</v>
      </c>
      <c r="K34" s="6"/>
      <c r="L34" s="6">
        <v>0</v>
      </c>
      <c r="M34" s="6">
        <v>2</v>
      </c>
      <c r="N34" s="7"/>
    </row>
    <row r="35" spans="1:14" x14ac:dyDescent="0.2">
      <c r="A35" s="8">
        <v>45796</v>
      </c>
      <c r="B35" s="6">
        <v>228.9</v>
      </c>
      <c r="C35" s="6">
        <v>0</v>
      </c>
      <c r="D35" s="6">
        <v>84.31</v>
      </c>
      <c r="E35" s="6">
        <v>0</v>
      </c>
      <c r="F35" s="6">
        <v>0</v>
      </c>
      <c r="G35" s="6">
        <v>0</v>
      </c>
      <c r="H35" s="6">
        <v>0</v>
      </c>
      <c r="I35" s="6"/>
      <c r="J35" s="6">
        <v>0</v>
      </c>
      <c r="K35" s="6"/>
      <c r="L35" s="6">
        <v>0</v>
      </c>
      <c r="M35" s="6">
        <v>2</v>
      </c>
      <c r="N35" s="7"/>
    </row>
    <row r="36" spans="1:14" x14ac:dyDescent="0.2">
      <c r="A36" s="8">
        <v>45803</v>
      </c>
      <c r="B36" s="6">
        <v>113.05</v>
      </c>
      <c r="C36" s="6">
        <v>0</v>
      </c>
      <c r="D36" s="6">
        <v>72.66</v>
      </c>
      <c r="E36" s="6">
        <v>0</v>
      </c>
      <c r="F36" s="6">
        <v>0</v>
      </c>
      <c r="G36" s="6">
        <v>0</v>
      </c>
      <c r="H36" s="6">
        <v>0</v>
      </c>
      <c r="I36" s="6"/>
      <c r="J36" s="6">
        <v>0</v>
      </c>
      <c r="K36" s="6"/>
      <c r="L36" s="6">
        <v>0</v>
      </c>
      <c r="M36" s="6">
        <v>2</v>
      </c>
      <c r="N36" s="7"/>
    </row>
    <row r="37" spans="1:14" x14ac:dyDescent="0.2">
      <c r="A37" s="8">
        <v>45810</v>
      </c>
      <c r="B37" s="6">
        <v>89.32</v>
      </c>
      <c r="C37" s="6">
        <v>0</v>
      </c>
      <c r="D37" s="6">
        <v>29.05</v>
      </c>
      <c r="E37" s="6">
        <v>0</v>
      </c>
      <c r="F37" s="6">
        <v>0</v>
      </c>
      <c r="G37" s="6">
        <v>0</v>
      </c>
      <c r="H37" s="6">
        <v>0</v>
      </c>
      <c r="I37" s="6"/>
      <c r="J37" s="6">
        <v>0</v>
      </c>
      <c r="K37" s="6"/>
      <c r="L37" s="6">
        <v>0</v>
      </c>
      <c r="M37" s="6">
        <v>2</v>
      </c>
      <c r="N37" s="7"/>
    </row>
    <row r="38" spans="1:14" x14ac:dyDescent="0.2">
      <c r="A38" s="8">
        <v>45817</v>
      </c>
      <c r="B38" s="6">
        <v>109.16</v>
      </c>
      <c r="C38" s="6">
        <v>0</v>
      </c>
      <c r="D38" s="6">
        <v>38.39</v>
      </c>
      <c r="E38" s="6">
        <v>0</v>
      </c>
      <c r="F38" s="6">
        <v>0</v>
      </c>
      <c r="G38" s="6">
        <v>0</v>
      </c>
      <c r="H38" s="6">
        <v>0</v>
      </c>
      <c r="I38" s="6"/>
      <c r="J38" s="6">
        <v>0</v>
      </c>
      <c r="K38" s="6"/>
      <c r="L38" s="6">
        <v>0</v>
      </c>
      <c r="M38" s="6">
        <v>2</v>
      </c>
      <c r="N38" s="7"/>
    </row>
    <row r="39" spans="1:14" x14ac:dyDescent="0.2">
      <c r="A39" s="8">
        <v>45824</v>
      </c>
      <c r="B39" s="6">
        <v>140.72</v>
      </c>
      <c r="C39" s="6">
        <v>2.74</v>
      </c>
      <c r="D39" s="6">
        <v>11.96</v>
      </c>
      <c r="E39" s="6">
        <v>0</v>
      </c>
      <c r="F39" s="6">
        <v>0</v>
      </c>
      <c r="G39" s="6">
        <v>0</v>
      </c>
      <c r="H39" s="6">
        <v>0</v>
      </c>
      <c r="I39" s="6"/>
      <c r="J39" s="6">
        <v>0</v>
      </c>
      <c r="K39" s="6"/>
      <c r="L39" s="6">
        <v>0</v>
      </c>
      <c r="M39" s="6">
        <v>2</v>
      </c>
      <c r="N39" s="7"/>
    </row>
    <row r="40" spans="1:14" x14ac:dyDescent="0.2">
      <c r="A40" s="8">
        <v>45831</v>
      </c>
      <c r="B40" s="6">
        <v>302.23</v>
      </c>
      <c r="C40" s="6">
        <v>0</v>
      </c>
      <c r="D40" s="6">
        <v>45.63</v>
      </c>
      <c r="E40" s="6">
        <v>0</v>
      </c>
      <c r="F40" s="6">
        <v>0</v>
      </c>
      <c r="G40" s="6">
        <v>0</v>
      </c>
      <c r="H40" s="6">
        <v>0</v>
      </c>
      <c r="I40" s="6"/>
      <c r="J40" s="6">
        <v>0</v>
      </c>
      <c r="K40" s="6"/>
      <c r="L40" s="6">
        <v>0</v>
      </c>
      <c r="M40" s="6">
        <v>2</v>
      </c>
      <c r="N40" s="7"/>
    </row>
    <row r="41" spans="1:14" x14ac:dyDescent="0.2">
      <c r="A41" s="8">
        <v>45838</v>
      </c>
      <c r="B41" s="6">
        <v>182.36</v>
      </c>
      <c r="C41" s="6">
        <v>2.77</v>
      </c>
      <c r="D41" s="6">
        <v>4.26</v>
      </c>
      <c r="E41" s="6">
        <v>0</v>
      </c>
      <c r="F41" s="6">
        <v>0</v>
      </c>
      <c r="G41" s="6">
        <v>0</v>
      </c>
      <c r="H41" s="6">
        <v>0</v>
      </c>
      <c r="I41" s="6"/>
      <c r="J41" s="6">
        <v>0</v>
      </c>
      <c r="K41" s="6"/>
      <c r="L41" s="6">
        <v>0</v>
      </c>
      <c r="M41" s="6">
        <v>2</v>
      </c>
      <c r="N41" s="7"/>
    </row>
    <row r="42" spans="1:14" x14ac:dyDescent="0.2">
      <c r="A42" s="8">
        <v>45845</v>
      </c>
      <c r="B42" s="6">
        <v>183.43</v>
      </c>
      <c r="C42" s="6">
        <v>0</v>
      </c>
      <c r="D42" s="6">
        <v>0</v>
      </c>
      <c r="E42" s="6">
        <v>0</v>
      </c>
      <c r="F42" s="6">
        <v>0</v>
      </c>
      <c r="G42" s="6">
        <v>0</v>
      </c>
      <c r="H42" s="6">
        <v>0</v>
      </c>
      <c r="I42" s="6"/>
      <c r="J42" s="6">
        <v>0</v>
      </c>
      <c r="K42" s="6"/>
      <c r="L42" s="6">
        <v>0</v>
      </c>
      <c r="M42" s="6">
        <v>2</v>
      </c>
      <c r="N42" s="7"/>
    </row>
    <row r="43" spans="1:14" x14ac:dyDescent="0.2">
      <c r="A43" s="8">
        <v>45852</v>
      </c>
      <c r="B43" s="6">
        <v>272.54000000000002</v>
      </c>
      <c r="C43" s="6">
        <v>0</v>
      </c>
      <c r="D43" s="6">
        <v>0</v>
      </c>
      <c r="E43" s="6">
        <v>0</v>
      </c>
      <c r="F43" s="6">
        <v>0</v>
      </c>
      <c r="G43" s="6">
        <v>0</v>
      </c>
      <c r="H43" s="6">
        <v>0</v>
      </c>
      <c r="I43" s="6"/>
      <c r="J43" s="6">
        <v>0</v>
      </c>
      <c r="K43" s="6"/>
      <c r="L43" s="6">
        <v>0</v>
      </c>
      <c r="M43" s="6">
        <v>2</v>
      </c>
      <c r="N43" s="7"/>
    </row>
    <row r="44" spans="1:14" x14ac:dyDescent="0.2">
      <c r="A44" s="8">
        <v>45859</v>
      </c>
      <c r="B44" s="6">
        <v>365.88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/>
      <c r="J44" s="6">
        <v>0</v>
      </c>
      <c r="K44" s="6"/>
      <c r="L44" s="6">
        <v>0</v>
      </c>
      <c r="M44" s="6">
        <v>2</v>
      </c>
      <c r="N44" s="7"/>
    </row>
    <row r="45" spans="1:14" x14ac:dyDescent="0.2">
      <c r="A45" s="8">
        <v>45866</v>
      </c>
      <c r="B45" s="6">
        <v>375.85</v>
      </c>
      <c r="C45" s="6">
        <v>0</v>
      </c>
      <c r="D45" s="6">
        <v>0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/>
      <c r="L45" s="6">
        <v>0</v>
      </c>
      <c r="M45" s="6">
        <v>2</v>
      </c>
      <c r="N45" s="7"/>
    </row>
    <row r="46" spans="1:14" x14ac:dyDescent="0.2">
      <c r="A46" s="8">
        <v>45873</v>
      </c>
      <c r="B46" s="6">
        <v>975.46</v>
      </c>
      <c r="C46" s="6">
        <v>0</v>
      </c>
      <c r="D46" s="6">
        <v>0</v>
      </c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/>
      <c r="L46" s="6">
        <v>0</v>
      </c>
      <c r="M46" s="6">
        <v>2</v>
      </c>
      <c r="N46" s="7"/>
    </row>
    <row r="47" spans="1:14" x14ac:dyDescent="0.2">
      <c r="A47" s="8">
        <v>45880</v>
      </c>
      <c r="B47" s="6">
        <v>211.09</v>
      </c>
      <c r="C47" s="6">
        <v>0</v>
      </c>
      <c r="D47" s="6">
        <v>0</v>
      </c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/>
      <c r="L47" s="6">
        <v>0</v>
      </c>
      <c r="M47" s="6">
        <v>2</v>
      </c>
      <c r="N47" s="7"/>
    </row>
    <row r="48" spans="1:14" x14ac:dyDescent="0.2">
      <c r="A48" s="8">
        <v>45887</v>
      </c>
      <c r="B48" s="6">
        <v>215.32</v>
      </c>
      <c r="C48" s="6">
        <v>1.88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/>
      <c r="L48" s="6">
        <v>0</v>
      </c>
      <c r="M48" s="6">
        <v>2</v>
      </c>
      <c r="N48" s="7"/>
    </row>
    <row r="49" spans="1:14" x14ac:dyDescent="0.2">
      <c r="A49" s="8">
        <v>45894</v>
      </c>
      <c r="B49" s="6">
        <v>135.99</v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/>
      <c r="L49" s="6">
        <v>0</v>
      </c>
      <c r="M49" s="6">
        <v>2</v>
      </c>
      <c r="N49" s="7"/>
    </row>
    <row r="50" spans="1:14" x14ac:dyDescent="0.2">
      <c r="A50" s="8">
        <v>45901</v>
      </c>
      <c r="B50" s="6">
        <v>303.83</v>
      </c>
      <c r="C50" s="6">
        <v>0</v>
      </c>
      <c r="D50" s="6">
        <v>1.1100000000000001</v>
      </c>
      <c r="E50" s="6">
        <v>2.2200000000000002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/>
      <c r="L50" s="6">
        <v>0</v>
      </c>
      <c r="M50" s="6">
        <v>2</v>
      </c>
      <c r="N50" s="7"/>
    </row>
    <row r="51" spans="1:14" x14ac:dyDescent="0.2">
      <c r="A51" s="8">
        <v>45908</v>
      </c>
      <c r="B51" s="6">
        <v>270.43</v>
      </c>
      <c r="C51" s="6">
        <v>0</v>
      </c>
      <c r="D51" s="6">
        <v>0</v>
      </c>
      <c r="E51" s="6">
        <v>1.05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/>
      <c r="L51" s="6">
        <v>0</v>
      </c>
      <c r="M51" s="6">
        <v>2</v>
      </c>
      <c r="N51" s="7"/>
    </row>
    <row r="52" spans="1:14" x14ac:dyDescent="0.2">
      <c r="A52" s="8">
        <v>45915</v>
      </c>
      <c r="B52" s="6">
        <v>448.3</v>
      </c>
      <c r="C52" s="6">
        <v>0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/>
      <c r="L52" s="6">
        <v>0</v>
      </c>
      <c r="M52" s="6">
        <v>2</v>
      </c>
      <c r="N52" s="7"/>
    </row>
    <row r="53" spans="1:14" x14ac:dyDescent="0.2">
      <c r="A53" s="8">
        <v>45922</v>
      </c>
      <c r="B53" s="6">
        <v>540.51</v>
      </c>
      <c r="C53" s="6">
        <v>0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/>
      <c r="L53" s="6">
        <v>0</v>
      </c>
      <c r="M53" s="6">
        <v>2</v>
      </c>
      <c r="N53" s="7"/>
    </row>
    <row r="54" spans="1:14" x14ac:dyDescent="0.2">
      <c r="A54" s="8">
        <v>45929</v>
      </c>
      <c r="B54" s="6">
        <v>152.30000000000001</v>
      </c>
      <c r="C54" s="6">
        <v>0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/>
      <c r="L54" s="6">
        <v>0</v>
      </c>
      <c r="M54" s="6">
        <v>2</v>
      </c>
      <c r="N54" s="7"/>
    </row>
    <row r="55" spans="1:14" x14ac:dyDescent="0.2">
      <c r="A55" s="8">
        <v>45936</v>
      </c>
      <c r="B55" s="6">
        <v>149.28</v>
      </c>
      <c r="C55" s="6">
        <v>0</v>
      </c>
      <c r="D55" s="6">
        <v>0</v>
      </c>
      <c r="E55" s="6">
        <v>1.87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/>
      <c r="L55" s="6">
        <v>0</v>
      </c>
      <c r="M55" s="6">
        <v>2</v>
      </c>
      <c r="N55" s="7"/>
    </row>
    <row r="56" spans="1:14" x14ac:dyDescent="0.2">
      <c r="A56" s="8">
        <v>45943</v>
      </c>
      <c r="B56" s="6">
        <v>87.97</v>
      </c>
      <c r="C56" s="6">
        <v>0</v>
      </c>
      <c r="D56" s="6">
        <v>0</v>
      </c>
      <c r="E56" s="6">
        <v>0</v>
      </c>
      <c r="F56" s="6">
        <v>0</v>
      </c>
      <c r="G56" s="6">
        <v>2.91</v>
      </c>
      <c r="H56" s="6">
        <v>0</v>
      </c>
      <c r="I56" s="6">
        <v>0</v>
      </c>
      <c r="J56" s="6">
        <v>0</v>
      </c>
      <c r="K56" s="6"/>
      <c r="L56" s="6">
        <v>0</v>
      </c>
      <c r="M56" s="6">
        <v>2</v>
      </c>
      <c r="N56" s="7"/>
    </row>
    <row r="57" spans="1:14" x14ac:dyDescent="0.2">
      <c r="A57" s="8">
        <v>45950</v>
      </c>
      <c r="B57" s="6">
        <v>74.42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/>
      <c r="L57" s="6">
        <v>0</v>
      </c>
      <c r="M57" s="6">
        <v>2</v>
      </c>
      <c r="N57" s="7"/>
    </row>
    <row r="58" spans="1:14" x14ac:dyDescent="0.2">
      <c r="A58" s="8">
        <v>45957</v>
      </c>
      <c r="B58" s="6">
        <v>155.54</v>
      </c>
      <c r="C58" s="6">
        <v>8.09</v>
      </c>
      <c r="D58" s="6">
        <v>0</v>
      </c>
      <c r="E58" s="6">
        <v>0</v>
      </c>
      <c r="F58" s="6">
        <v>0</v>
      </c>
      <c r="G58" s="6">
        <v>0</v>
      </c>
      <c r="H58" s="6">
        <v>6.61</v>
      </c>
      <c r="I58" s="6">
        <v>0</v>
      </c>
      <c r="J58" s="6">
        <v>0</v>
      </c>
      <c r="K58" s="6"/>
      <c r="L58" s="6">
        <v>0</v>
      </c>
      <c r="M58" s="6">
        <v>2</v>
      </c>
      <c r="N58" s="7"/>
    </row>
    <row r="59" spans="1:14" x14ac:dyDescent="0.2">
      <c r="A59" s="8">
        <v>45964</v>
      </c>
      <c r="B59" s="6">
        <v>27.34</v>
      </c>
      <c r="C59" s="6">
        <v>0</v>
      </c>
      <c r="D59" s="6">
        <v>0</v>
      </c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0</v>
      </c>
      <c r="K59" s="6"/>
      <c r="L59" s="6">
        <v>0</v>
      </c>
      <c r="M59" s="6">
        <v>2</v>
      </c>
      <c r="N59" s="7"/>
    </row>
    <row r="60" spans="1:14" x14ac:dyDescent="0.2">
      <c r="A60" s="8">
        <v>45971</v>
      </c>
      <c r="B60" s="6">
        <v>189.43</v>
      </c>
      <c r="C60" s="6">
        <v>0</v>
      </c>
      <c r="D60" s="6">
        <v>0</v>
      </c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/>
      <c r="L60" s="6">
        <v>0</v>
      </c>
      <c r="M60" s="6">
        <v>2</v>
      </c>
      <c r="N60" s="7"/>
    </row>
    <row r="61" spans="1:14" x14ac:dyDescent="0.2">
      <c r="A61" s="8">
        <v>45978</v>
      </c>
      <c r="B61" s="6">
        <v>17.32</v>
      </c>
      <c r="C61" s="6">
        <v>3.38</v>
      </c>
      <c r="D61" s="6">
        <v>0</v>
      </c>
      <c r="E61" s="6">
        <v>0</v>
      </c>
      <c r="F61" s="6">
        <v>0</v>
      </c>
      <c r="G61" s="6">
        <v>7.2</v>
      </c>
      <c r="H61" s="6">
        <v>0</v>
      </c>
      <c r="I61" s="6">
        <v>0</v>
      </c>
      <c r="J61" s="6">
        <v>0</v>
      </c>
      <c r="K61" s="6"/>
      <c r="L61" s="6">
        <v>0</v>
      </c>
      <c r="M61" s="6">
        <v>2</v>
      </c>
      <c r="N61" s="7"/>
    </row>
    <row r="62" spans="1:14" x14ac:dyDescent="0.2">
      <c r="A62" s="8">
        <v>45985</v>
      </c>
      <c r="B62" s="6">
        <v>12.97</v>
      </c>
      <c r="C62" s="6">
        <v>16.43</v>
      </c>
      <c r="D62" s="6">
        <v>0</v>
      </c>
      <c r="E62" s="6">
        <v>0</v>
      </c>
      <c r="F62" s="6">
        <v>0</v>
      </c>
      <c r="G62" s="6">
        <v>0</v>
      </c>
      <c r="H62" s="6">
        <v>16.41</v>
      </c>
      <c r="I62" s="6">
        <v>0</v>
      </c>
      <c r="J62" s="6">
        <v>0</v>
      </c>
      <c r="K62" s="6"/>
      <c r="L62" s="6">
        <v>0</v>
      </c>
      <c r="M62" s="6">
        <v>2</v>
      </c>
      <c r="N62" s="7"/>
    </row>
    <row r="63" spans="1:14" x14ac:dyDescent="0.2">
      <c r="A63" s="8">
        <v>45992</v>
      </c>
      <c r="B63" s="6">
        <v>138.01</v>
      </c>
      <c r="C63" s="6">
        <v>16.25</v>
      </c>
      <c r="D63" s="6">
        <v>0</v>
      </c>
      <c r="E63" s="6">
        <v>0</v>
      </c>
      <c r="F63" s="6">
        <v>0</v>
      </c>
      <c r="G63" s="6">
        <v>0</v>
      </c>
      <c r="H63" s="6">
        <v>16.63</v>
      </c>
      <c r="I63" s="6">
        <v>0</v>
      </c>
      <c r="J63" s="6">
        <v>0</v>
      </c>
      <c r="K63" s="6"/>
      <c r="L63" s="6">
        <v>0</v>
      </c>
      <c r="M63" s="6">
        <v>2</v>
      </c>
      <c r="N63" s="7"/>
    </row>
    <row r="64" spans="1:14" x14ac:dyDescent="0.2">
      <c r="A64" s="8">
        <v>45999</v>
      </c>
      <c r="B64" s="6">
        <v>28.33</v>
      </c>
      <c r="C64" s="6">
        <v>20.81</v>
      </c>
      <c r="D64" s="6">
        <v>0</v>
      </c>
      <c r="E64" s="6">
        <v>12.17</v>
      </c>
      <c r="F64" s="6">
        <v>0</v>
      </c>
      <c r="G64" s="6">
        <v>0</v>
      </c>
      <c r="H64" s="6">
        <v>26.42</v>
      </c>
      <c r="I64" s="6">
        <v>0</v>
      </c>
      <c r="J64" s="6">
        <v>0</v>
      </c>
      <c r="K64" s="6"/>
      <c r="L64" s="6">
        <v>0</v>
      </c>
      <c r="M64" s="6">
        <v>3</v>
      </c>
      <c r="N64" s="7"/>
    </row>
    <row r="65" spans="1:14" x14ac:dyDescent="0.2">
      <c r="A65" s="8">
        <v>46006</v>
      </c>
      <c r="B65" s="6">
        <v>16.989999999999998</v>
      </c>
      <c r="C65" s="6">
        <v>53.21</v>
      </c>
      <c r="D65" s="6">
        <v>0</v>
      </c>
      <c r="E65" s="6">
        <v>0</v>
      </c>
      <c r="F65" s="6">
        <v>0</v>
      </c>
      <c r="G65" s="6">
        <v>4.55</v>
      </c>
      <c r="H65" s="6">
        <v>36.39</v>
      </c>
      <c r="I65" s="6">
        <v>0</v>
      </c>
      <c r="J65" s="6">
        <v>0</v>
      </c>
      <c r="K65" s="6"/>
      <c r="L65" s="6">
        <v>0</v>
      </c>
      <c r="M65" s="6">
        <v>1</v>
      </c>
      <c r="N65" s="7"/>
    </row>
    <row r="66" spans="1:14" x14ac:dyDescent="0.2">
      <c r="A66" s="8">
        <v>46013</v>
      </c>
      <c r="B66" s="6">
        <v>127.35</v>
      </c>
      <c r="C66" s="6">
        <v>139.1</v>
      </c>
      <c r="D66" s="6">
        <v>5.29</v>
      </c>
      <c r="E66" s="6">
        <v>21.56</v>
      </c>
      <c r="F66" s="6">
        <v>0</v>
      </c>
      <c r="G66" s="6">
        <v>4.21</v>
      </c>
      <c r="H66" s="6">
        <v>111.81</v>
      </c>
      <c r="I66" s="6">
        <v>0</v>
      </c>
      <c r="J66" s="6">
        <v>0</v>
      </c>
      <c r="K66" s="6"/>
      <c r="L66" s="6">
        <v>0</v>
      </c>
      <c r="M66" s="6">
        <v>2</v>
      </c>
      <c r="N66" s="7"/>
    </row>
    <row r="67" spans="1:14" x14ac:dyDescent="0.2">
      <c r="A67" s="8">
        <v>46020</v>
      </c>
      <c r="B67" s="6">
        <v>47.61</v>
      </c>
      <c r="C67" s="6">
        <v>123.14</v>
      </c>
      <c r="D67" s="6">
        <v>5.6</v>
      </c>
      <c r="E67" s="6">
        <v>16.8</v>
      </c>
      <c r="F67" s="6">
        <v>0</v>
      </c>
      <c r="G67" s="6">
        <v>0</v>
      </c>
      <c r="H67" s="6">
        <v>152.07</v>
      </c>
      <c r="I67" s="6">
        <v>0</v>
      </c>
      <c r="J67" s="6">
        <v>0</v>
      </c>
      <c r="K67" s="6"/>
      <c r="L67" s="6">
        <v>0</v>
      </c>
      <c r="M67" s="6">
        <v>2</v>
      </c>
      <c r="N67" s="7"/>
    </row>
    <row r="68" spans="1:14" x14ac:dyDescent="0.2">
      <c r="A68" s="8">
        <v>46027</v>
      </c>
      <c r="B68" s="6">
        <v>92.92</v>
      </c>
      <c r="C68" s="6">
        <v>141.62</v>
      </c>
      <c r="D68" s="6">
        <v>12.24</v>
      </c>
      <c r="E68" s="6">
        <v>18.57</v>
      </c>
      <c r="F68" s="6">
        <v>0</v>
      </c>
      <c r="G68" s="6">
        <v>3.6</v>
      </c>
      <c r="H68" s="6">
        <v>137.71</v>
      </c>
      <c r="I68" s="6">
        <v>0</v>
      </c>
      <c r="J68" s="6">
        <v>0</v>
      </c>
      <c r="K68" s="6"/>
      <c r="L68" s="6">
        <v>0</v>
      </c>
      <c r="M68" s="6">
        <v>2</v>
      </c>
      <c r="N68" s="7"/>
    </row>
    <row r="69" spans="1:14" x14ac:dyDescent="0.2">
      <c r="A69" s="8">
        <v>46034</v>
      </c>
      <c r="B69" s="6">
        <v>85.55</v>
      </c>
      <c r="C69" s="6">
        <v>114.49</v>
      </c>
      <c r="D69" s="6">
        <v>9.6199999999999992</v>
      </c>
      <c r="E69" s="6">
        <v>4.4400000000000004</v>
      </c>
      <c r="F69" s="6">
        <v>0</v>
      </c>
      <c r="G69" s="6">
        <v>0</v>
      </c>
      <c r="H69" s="6">
        <v>96.44</v>
      </c>
      <c r="I69" s="6">
        <v>0</v>
      </c>
      <c r="J69" s="6">
        <v>0</v>
      </c>
      <c r="K69" s="6"/>
      <c r="L69" s="6">
        <v>0</v>
      </c>
      <c r="M69" s="6">
        <v>2</v>
      </c>
      <c r="N69" s="7"/>
    </row>
    <row r="70" spans="1:14" x14ac:dyDescent="0.2">
      <c r="A70" s="8">
        <v>46041</v>
      </c>
      <c r="B70" s="6">
        <v>131.44</v>
      </c>
      <c r="C70" s="6">
        <v>133.02000000000001</v>
      </c>
      <c r="D70" s="6">
        <v>55.57</v>
      </c>
      <c r="E70" s="6">
        <v>10.31</v>
      </c>
      <c r="F70" s="6">
        <v>0</v>
      </c>
      <c r="G70" s="6">
        <v>4.45</v>
      </c>
      <c r="H70" s="6">
        <v>137.13999999999999</v>
      </c>
      <c r="I70" s="6">
        <v>0</v>
      </c>
      <c r="J70" s="6">
        <v>0</v>
      </c>
      <c r="K70" s="6"/>
      <c r="L70" s="6">
        <v>0</v>
      </c>
      <c r="M70" s="6">
        <v>2</v>
      </c>
      <c r="N70" s="7"/>
    </row>
    <row r="71" spans="1:14" x14ac:dyDescent="0.2">
      <c r="A71" s="8">
        <v>46048</v>
      </c>
      <c r="B71" s="6">
        <v>51.47</v>
      </c>
      <c r="C71" s="6">
        <v>159.91999999999999</v>
      </c>
      <c r="D71" s="6">
        <v>10.8</v>
      </c>
      <c r="E71" s="6">
        <v>8.6300000000000008</v>
      </c>
      <c r="F71" s="6">
        <v>0</v>
      </c>
      <c r="G71" s="6">
        <v>8.17</v>
      </c>
      <c r="H71" s="6">
        <v>166.41</v>
      </c>
      <c r="I71" s="6">
        <v>0</v>
      </c>
      <c r="J71" s="6">
        <v>0</v>
      </c>
      <c r="K71" s="6"/>
      <c r="L71" s="6">
        <v>0</v>
      </c>
      <c r="M71" s="6">
        <v>2</v>
      </c>
      <c r="N71" s="7"/>
    </row>
    <row r="72" spans="1:14" x14ac:dyDescent="0.2">
      <c r="A72" s="8">
        <v>46055</v>
      </c>
      <c r="B72" s="6">
        <v>59.58</v>
      </c>
      <c r="C72" s="6">
        <v>270.51</v>
      </c>
      <c r="D72" s="6">
        <v>27.25</v>
      </c>
      <c r="E72" s="6">
        <v>37.409999999999997</v>
      </c>
      <c r="F72" s="6">
        <v>0</v>
      </c>
      <c r="G72" s="6">
        <v>26.42</v>
      </c>
      <c r="H72" s="6">
        <v>260.32</v>
      </c>
      <c r="I72" s="6">
        <v>0</v>
      </c>
      <c r="J72" s="6">
        <v>0</v>
      </c>
      <c r="K72" s="6"/>
      <c r="L72" s="6">
        <v>0</v>
      </c>
      <c r="M72" s="6">
        <v>2</v>
      </c>
      <c r="N72" s="7"/>
    </row>
    <row r="73" spans="1:14" x14ac:dyDescent="0.2">
      <c r="A73" s="8">
        <v>46062</v>
      </c>
      <c r="B73" s="6">
        <v>76.77</v>
      </c>
      <c r="C73" s="6">
        <v>139.54</v>
      </c>
      <c r="D73" s="6">
        <v>49.72</v>
      </c>
      <c r="E73" s="6">
        <v>20.32</v>
      </c>
      <c r="F73" s="6">
        <v>0</v>
      </c>
      <c r="G73" s="6">
        <v>21.68</v>
      </c>
      <c r="H73" s="6">
        <v>97.4</v>
      </c>
      <c r="I73" s="6">
        <v>0</v>
      </c>
      <c r="J73" s="6">
        <v>0</v>
      </c>
      <c r="K73" s="6"/>
      <c r="L73" s="6">
        <v>0</v>
      </c>
      <c r="M73" s="6">
        <v>2</v>
      </c>
      <c r="N73" s="7"/>
    </row>
    <row r="74" spans="1:14" x14ac:dyDescent="0.2">
      <c r="A74" s="8">
        <v>46069</v>
      </c>
      <c r="B74" s="6">
        <v>140.91999999999999</v>
      </c>
      <c r="C74" s="6">
        <v>97.8</v>
      </c>
      <c r="D74" s="6">
        <v>6.92</v>
      </c>
      <c r="E74" s="6">
        <v>5.19</v>
      </c>
      <c r="F74" s="6">
        <v>0</v>
      </c>
      <c r="G74" s="6">
        <v>8.8000000000000007</v>
      </c>
      <c r="H74" s="6">
        <v>47.42</v>
      </c>
      <c r="I74" s="6">
        <v>0</v>
      </c>
      <c r="J74" s="6">
        <v>0</v>
      </c>
      <c r="K74" s="6"/>
      <c r="L74" s="6">
        <v>0</v>
      </c>
      <c r="M74" s="6">
        <v>2</v>
      </c>
      <c r="N74" s="7"/>
    </row>
    <row r="75" spans="1:14" x14ac:dyDescent="0.2">
      <c r="A75" s="8">
        <v>46076</v>
      </c>
      <c r="B75" s="6">
        <v>41.84</v>
      </c>
      <c r="C75" s="6">
        <v>117.32</v>
      </c>
      <c r="D75" s="6">
        <v>88.98</v>
      </c>
      <c r="E75" s="6">
        <v>22.93</v>
      </c>
      <c r="F75" s="6">
        <v>0</v>
      </c>
      <c r="G75" s="6">
        <v>0</v>
      </c>
      <c r="H75" s="6">
        <v>106</v>
      </c>
      <c r="I75" s="6">
        <v>0</v>
      </c>
      <c r="J75" s="6">
        <v>0</v>
      </c>
      <c r="K75" s="6"/>
      <c r="L75" s="6">
        <v>0</v>
      </c>
      <c r="M75" s="6">
        <v>2</v>
      </c>
      <c r="N75" s="7"/>
    </row>
    <row r="76" spans="1:14" x14ac:dyDescent="0.2">
      <c r="A76" s="8">
        <v>46083</v>
      </c>
      <c r="B76" s="6">
        <v>47.82</v>
      </c>
      <c r="C76" s="6">
        <v>19.170000000000002</v>
      </c>
      <c r="D76" s="6">
        <v>26.04</v>
      </c>
      <c r="E76" s="6">
        <v>43.46</v>
      </c>
      <c r="F76" s="6">
        <v>0</v>
      </c>
      <c r="G76" s="6">
        <v>3.36</v>
      </c>
      <c r="H76" s="6">
        <v>19.149999999999999</v>
      </c>
      <c r="I76" s="6">
        <v>0</v>
      </c>
      <c r="J76" s="6">
        <v>0</v>
      </c>
      <c r="K76" s="6"/>
      <c r="L76" s="6">
        <v>0</v>
      </c>
      <c r="M76" s="6">
        <v>2</v>
      </c>
      <c r="N76" s="7"/>
    </row>
    <row r="77" spans="1:14" x14ac:dyDescent="0.2">
      <c r="A77" s="8">
        <v>46090</v>
      </c>
      <c r="B77" s="6">
        <v>257.14999999999998</v>
      </c>
      <c r="C77" s="6">
        <v>13.55</v>
      </c>
      <c r="D77" s="6">
        <v>27.71</v>
      </c>
      <c r="E77" s="6">
        <v>13.99</v>
      </c>
      <c r="F77" s="6">
        <v>0</v>
      </c>
      <c r="G77" s="6">
        <v>1.32</v>
      </c>
      <c r="H77" s="6">
        <v>9.23</v>
      </c>
      <c r="I77" s="6">
        <v>0</v>
      </c>
      <c r="J77" s="6">
        <v>0</v>
      </c>
      <c r="K77" s="6"/>
      <c r="L77" s="6">
        <v>0</v>
      </c>
      <c r="M77" s="6">
        <v>2</v>
      </c>
      <c r="N77" s="7"/>
    </row>
    <row r="78" spans="1:14" x14ac:dyDescent="0.2">
      <c r="A78" s="8">
        <v>46097</v>
      </c>
      <c r="B78" s="6">
        <v>851.04</v>
      </c>
      <c r="C78" s="6">
        <v>0</v>
      </c>
      <c r="D78" s="6">
        <v>24.63</v>
      </c>
      <c r="E78" s="6">
        <v>33.67</v>
      </c>
      <c r="F78" s="6">
        <v>0</v>
      </c>
      <c r="G78" s="6">
        <v>0</v>
      </c>
      <c r="H78" s="6">
        <v>0</v>
      </c>
      <c r="I78" s="6">
        <v>0</v>
      </c>
      <c r="J78" s="6">
        <v>0</v>
      </c>
      <c r="K78" s="6"/>
      <c r="L78" s="6">
        <v>0</v>
      </c>
      <c r="M78" s="6">
        <v>2</v>
      </c>
      <c r="N78" s="7"/>
    </row>
    <row r="79" spans="1:14" x14ac:dyDescent="0.2">
      <c r="A79" s="8">
        <v>46104</v>
      </c>
      <c r="B79" s="6">
        <v>91.51</v>
      </c>
      <c r="C79" s="6">
        <v>0</v>
      </c>
      <c r="D79" s="6">
        <v>14.07</v>
      </c>
      <c r="E79" s="6">
        <v>28.07</v>
      </c>
      <c r="F79" s="6">
        <v>0</v>
      </c>
      <c r="G79" s="6">
        <v>2.27</v>
      </c>
      <c r="H79" s="6">
        <v>0</v>
      </c>
      <c r="I79" s="6">
        <v>0</v>
      </c>
      <c r="J79" s="6">
        <v>0</v>
      </c>
      <c r="K79" s="6"/>
      <c r="L79" s="6">
        <v>0</v>
      </c>
      <c r="M79" s="6">
        <v>2</v>
      </c>
      <c r="N79" s="7"/>
    </row>
    <row r="80" spans="1:14" x14ac:dyDescent="0.2">
      <c r="A80" s="8">
        <v>46111</v>
      </c>
      <c r="B80" s="6">
        <v>43.31</v>
      </c>
      <c r="C80" s="6">
        <v>6.73</v>
      </c>
      <c r="D80" s="6">
        <v>18.239999999999998</v>
      </c>
      <c r="E80" s="6">
        <v>9.81</v>
      </c>
      <c r="F80" s="6">
        <v>0</v>
      </c>
      <c r="G80" s="6">
        <v>0</v>
      </c>
      <c r="H80" s="6">
        <v>2.4</v>
      </c>
      <c r="I80" s="6">
        <v>0</v>
      </c>
      <c r="J80" s="6">
        <v>0</v>
      </c>
      <c r="K80" s="6"/>
      <c r="L80" s="6">
        <v>0</v>
      </c>
      <c r="M80" s="6">
        <v>2</v>
      </c>
      <c r="N80" s="7"/>
    </row>
    <row r="81" spans="1:14" x14ac:dyDescent="0.2">
      <c r="A81" s="8">
        <v>46118</v>
      </c>
      <c r="B81" s="6">
        <v>28.67</v>
      </c>
      <c r="C81" s="6">
        <v>2.19</v>
      </c>
      <c r="D81" s="6">
        <v>2.74</v>
      </c>
      <c r="E81" s="6">
        <v>0</v>
      </c>
      <c r="F81" s="6">
        <v>0</v>
      </c>
      <c r="G81" s="6">
        <v>0</v>
      </c>
      <c r="H81" s="6">
        <v>0</v>
      </c>
      <c r="I81" s="6">
        <v>0</v>
      </c>
      <c r="J81" s="6">
        <v>0</v>
      </c>
      <c r="K81" s="6"/>
      <c r="L81" s="6">
        <v>0</v>
      </c>
      <c r="M81" s="6">
        <v>2</v>
      </c>
      <c r="N81" s="7"/>
    </row>
    <row r="82" spans="1:14" x14ac:dyDescent="0.2">
      <c r="A82" s="8">
        <v>46125</v>
      </c>
      <c r="B82" s="6">
        <v>24.94</v>
      </c>
      <c r="C82" s="6">
        <v>0</v>
      </c>
      <c r="D82" s="6">
        <v>16.559999999999999</v>
      </c>
      <c r="E82" s="6">
        <v>0</v>
      </c>
      <c r="F82" s="6">
        <v>0</v>
      </c>
      <c r="G82" s="6">
        <v>0</v>
      </c>
      <c r="H82" s="6">
        <v>0</v>
      </c>
      <c r="I82" s="6">
        <v>0</v>
      </c>
      <c r="J82" s="6">
        <v>0</v>
      </c>
      <c r="K82" s="6"/>
      <c r="L82" s="6">
        <v>0</v>
      </c>
      <c r="M82" s="6">
        <v>2</v>
      </c>
      <c r="N82" s="7"/>
    </row>
    <row r="83" spans="1:14" x14ac:dyDescent="0.2">
      <c r="A83" s="8">
        <v>46132</v>
      </c>
      <c r="B83" s="6">
        <v>119.55</v>
      </c>
      <c r="C83" s="6">
        <v>0</v>
      </c>
      <c r="D83" s="6">
        <v>2.08</v>
      </c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/>
      <c r="L83" s="6">
        <v>0</v>
      </c>
      <c r="M83" s="6">
        <v>2</v>
      </c>
      <c r="N83" s="7"/>
    </row>
    <row r="84" spans="1:14" x14ac:dyDescent="0.2">
      <c r="A84" s="8">
        <v>46139</v>
      </c>
      <c r="B84" s="6">
        <v>50.13</v>
      </c>
      <c r="C84" s="6">
        <v>0</v>
      </c>
      <c r="D84" s="6">
        <v>6.67</v>
      </c>
      <c r="E84" s="6">
        <v>1.39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/>
      <c r="M84" s="6">
        <v>2</v>
      </c>
      <c r="N84" s="7"/>
    </row>
    <row r="85" spans="1:14" x14ac:dyDescent="0.2">
      <c r="A85" s="8">
        <v>46146</v>
      </c>
      <c r="B85" s="6">
        <v>43.73</v>
      </c>
      <c r="C85" s="6">
        <v>0</v>
      </c>
      <c r="D85" s="6">
        <v>0</v>
      </c>
      <c r="E85" s="6">
        <v>9.49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/>
      <c r="M85" s="6">
        <v>2</v>
      </c>
      <c r="N85" s="7"/>
    </row>
    <row r="86" spans="1:14" x14ac:dyDescent="0.2">
      <c r="A86" s="8">
        <v>46153</v>
      </c>
      <c r="B86" s="6">
        <v>34.450000000000003</v>
      </c>
      <c r="C86" s="6">
        <v>0</v>
      </c>
      <c r="D86" s="6">
        <v>15.8</v>
      </c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/>
      <c r="M86" s="6">
        <v>2</v>
      </c>
      <c r="N86" s="7"/>
    </row>
    <row r="87" spans="1:14" x14ac:dyDescent="0.2">
      <c r="A87" s="8">
        <v>46160</v>
      </c>
      <c r="B87" s="6">
        <v>3.05</v>
      </c>
      <c r="C87" s="6">
        <v>0</v>
      </c>
      <c r="D87" s="6">
        <v>0</v>
      </c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/>
      <c r="M87" s="6">
        <v>2</v>
      </c>
      <c r="N87" s="7"/>
    </row>
    <row r="88" spans="1:14" x14ac:dyDescent="0.2">
      <c r="A88" s="8">
        <v>46167</v>
      </c>
      <c r="B88" s="6">
        <v>10.8</v>
      </c>
      <c r="C88" s="6">
        <v>0</v>
      </c>
      <c r="D88" s="6">
        <v>20.8</v>
      </c>
      <c r="E88" s="6">
        <v>0</v>
      </c>
      <c r="F88" s="6">
        <v>0</v>
      </c>
      <c r="G88" s="6">
        <v>0</v>
      </c>
      <c r="H88" s="6">
        <v>0</v>
      </c>
      <c r="I88" s="6">
        <v>0</v>
      </c>
      <c r="J88" s="6">
        <v>0</v>
      </c>
      <c r="K88" s="6">
        <v>0</v>
      </c>
      <c r="L88" s="6"/>
      <c r="M88" s="6">
        <v>2</v>
      </c>
      <c r="N88" s="7"/>
    </row>
    <row r="89" spans="1:14" x14ac:dyDescent="0.2">
      <c r="A89" s="8">
        <v>46174</v>
      </c>
      <c r="B89" s="6">
        <v>24.63</v>
      </c>
      <c r="C89" s="6">
        <v>0</v>
      </c>
      <c r="D89" s="6">
        <v>3.69</v>
      </c>
      <c r="E89" s="6">
        <v>0</v>
      </c>
      <c r="F89" s="6">
        <v>0</v>
      </c>
      <c r="G89" s="6">
        <v>0</v>
      </c>
      <c r="H89" s="6">
        <v>0</v>
      </c>
      <c r="I89" s="6">
        <v>0</v>
      </c>
      <c r="J89" s="6">
        <v>0</v>
      </c>
      <c r="K89" s="6">
        <v>0</v>
      </c>
      <c r="L89" s="6"/>
      <c r="M89" s="6">
        <v>2</v>
      </c>
      <c r="N89" s="7"/>
    </row>
    <row r="90" spans="1:14" x14ac:dyDescent="0.2">
      <c r="A90" s="8">
        <v>46181</v>
      </c>
      <c r="B90" s="6">
        <v>0</v>
      </c>
      <c r="C90" s="6">
        <v>0</v>
      </c>
      <c r="D90" s="6">
        <v>3.79</v>
      </c>
      <c r="E90" s="6">
        <v>0</v>
      </c>
      <c r="F90" s="6">
        <v>0</v>
      </c>
      <c r="G90" s="6">
        <v>0</v>
      </c>
      <c r="H90" s="6">
        <v>0</v>
      </c>
      <c r="I90" s="6">
        <v>0</v>
      </c>
      <c r="J90" s="6">
        <v>0</v>
      </c>
      <c r="K90" s="6">
        <v>0</v>
      </c>
      <c r="L90" s="6"/>
      <c r="M90" s="6">
        <v>2</v>
      </c>
      <c r="N90" s="7"/>
    </row>
    <row r="91" spans="1:14" x14ac:dyDescent="0.2">
      <c r="A91" s="8">
        <v>46188</v>
      </c>
      <c r="B91" s="6">
        <v>5.77</v>
      </c>
      <c r="C91" s="6">
        <v>3.03</v>
      </c>
      <c r="D91" s="6">
        <v>8.01</v>
      </c>
      <c r="E91" s="6">
        <v>5.0199999999999996</v>
      </c>
      <c r="F91" s="6">
        <v>0</v>
      </c>
      <c r="G91" s="6">
        <v>1.89</v>
      </c>
      <c r="H91" s="6">
        <v>0</v>
      </c>
      <c r="I91" s="6">
        <v>0</v>
      </c>
      <c r="J91" s="6">
        <v>0</v>
      </c>
      <c r="K91" s="6">
        <v>0</v>
      </c>
      <c r="L91" s="6"/>
      <c r="M91" s="6">
        <v>2</v>
      </c>
      <c r="N91" s="7"/>
    </row>
    <row r="92" spans="1:14" x14ac:dyDescent="0.2">
      <c r="A92" s="8">
        <v>46195</v>
      </c>
      <c r="B92" s="6">
        <v>11.39</v>
      </c>
      <c r="C92" s="6">
        <v>0</v>
      </c>
      <c r="D92" s="6">
        <v>0</v>
      </c>
      <c r="E92" s="6">
        <v>4.46</v>
      </c>
      <c r="F92" s="6">
        <v>0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/>
      <c r="M92" s="6">
        <v>2</v>
      </c>
      <c r="N92" s="7"/>
    </row>
    <row r="93" spans="1:14" x14ac:dyDescent="0.2">
      <c r="A93" s="8">
        <v>46202</v>
      </c>
      <c r="B93" s="6">
        <v>23.98</v>
      </c>
      <c r="C93" s="6">
        <v>0</v>
      </c>
      <c r="D93" s="6">
        <v>0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/>
      <c r="M93" s="6">
        <v>2</v>
      </c>
      <c r="N93" s="7"/>
    </row>
    <row r="94" spans="1:14" x14ac:dyDescent="0.2">
      <c r="A94" s="8">
        <v>46209</v>
      </c>
      <c r="B94" s="6">
        <v>48.64</v>
      </c>
      <c r="C94" s="6">
        <v>0</v>
      </c>
      <c r="D94" s="6">
        <v>0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/>
      <c r="M94" s="6">
        <v>2</v>
      </c>
      <c r="N94" s="7"/>
    </row>
    <row r="95" spans="1:14" x14ac:dyDescent="0.2">
      <c r="A95" s="8">
        <v>46216</v>
      </c>
      <c r="B95" s="6">
        <v>77.11</v>
      </c>
      <c r="C95" s="6">
        <v>0</v>
      </c>
      <c r="D95" s="6">
        <v>0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/>
      <c r="M95" s="6">
        <v>2</v>
      </c>
      <c r="N95" s="7"/>
    </row>
    <row r="96" spans="1:14" x14ac:dyDescent="0.2">
      <c r="A96" s="8">
        <v>46223</v>
      </c>
      <c r="B96" s="6">
        <v>14.89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/>
      <c r="M96" s="6">
        <v>2</v>
      </c>
      <c r="N96" s="7"/>
    </row>
    <row r="97" spans="1:14" x14ac:dyDescent="0.2">
      <c r="A97" s="8">
        <v>46230</v>
      </c>
      <c r="B97" s="6">
        <v>36.380000000000003</v>
      </c>
      <c r="C97" s="6">
        <v>0</v>
      </c>
      <c r="D97" s="6">
        <v>0</v>
      </c>
      <c r="E97" s="6">
        <v>0</v>
      </c>
      <c r="F97" s="6">
        <v>0</v>
      </c>
      <c r="G97" s="6">
        <v>0</v>
      </c>
      <c r="H97" s="6">
        <v>0</v>
      </c>
      <c r="I97" s="6">
        <v>0</v>
      </c>
      <c r="J97" s="6">
        <v>0</v>
      </c>
      <c r="K97" s="6">
        <v>0</v>
      </c>
      <c r="L97" s="6"/>
      <c r="M97" s="6">
        <v>2</v>
      </c>
      <c r="N97" s="7"/>
    </row>
    <row r="98" spans="1:14" x14ac:dyDescent="0.2">
      <c r="A98" s="8">
        <v>46237</v>
      </c>
      <c r="B98" s="6">
        <v>114.95</v>
      </c>
      <c r="C98" s="6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/>
      <c r="M98" s="6">
        <v>2</v>
      </c>
      <c r="N98" s="7"/>
    </row>
    <row r="99" spans="1:14" x14ac:dyDescent="0.2">
      <c r="A99" s="8">
        <v>46244</v>
      </c>
      <c r="B99" s="6">
        <v>310.23</v>
      </c>
      <c r="C99" s="6">
        <v>0</v>
      </c>
      <c r="D99" s="6">
        <v>0</v>
      </c>
      <c r="E99" s="6">
        <v>0</v>
      </c>
      <c r="F99" s="6">
        <v>0</v>
      </c>
      <c r="G99" s="6">
        <v>0</v>
      </c>
      <c r="H99" s="6">
        <v>0</v>
      </c>
      <c r="I99" s="6">
        <v>0</v>
      </c>
      <c r="J99" s="6">
        <v>0</v>
      </c>
      <c r="K99" s="6">
        <v>0</v>
      </c>
      <c r="L99" s="6"/>
      <c r="M99" s="6">
        <v>2</v>
      </c>
      <c r="N99" s="7"/>
    </row>
    <row r="100" spans="1:14" x14ac:dyDescent="0.2">
      <c r="A100" s="8">
        <v>46251</v>
      </c>
      <c r="B100" s="6">
        <v>386.12</v>
      </c>
      <c r="C100" s="6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6">
        <v>0</v>
      </c>
      <c r="J100" s="6">
        <v>0</v>
      </c>
      <c r="K100" s="6">
        <v>0</v>
      </c>
      <c r="L100" s="6"/>
      <c r="M100" s="6">
        <v>2</v>
      </c>
      <c r="N100" s="7"/>
    </row>
    <row r="101" spans="1:14" x14ac:dyDescent="0.2">
      <c r="A101" s="8">
        <v>46258</v>
      </c>
      <c r="B101" s="6">
        <v>48.83</v>
      </c>
      <c r="C101" s="6">
        <v>0</v>
      </c>
      <c r="D101" s="6">
        <v>0</v>
      </c>
      <c r="E101" s="6">
        <v>0</v>
      </c>
      <c r="F101" s="6">
        <v>0</v>
      </c>
      <c r="G101" s="6">
        <v>0</v>
      </c>
      <c r="H101" s="6">
        <v>0</v>
      </c>
      <c r="I101" s="6">
        <v>0</v>
      </c>
      <c r="J101" s="6">
        <v>0</v>
      </c>
      <c r="K101" s="6">
        <v>0</v>
      </c>
      <c r="L101" s="6"/>
      <c r="M101" s="6">
        <v>2</v>
      </c>
      <c r="N101" s="7"/>
    </row>
    <row r="102" spans="1:14" x14ac:dyDescent="0.2">
      <c r="A102" s="8">
        <v>46265</v>
      </c>
      <c r="B102" s="6">
        <v>62.2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/>
      <c r="M102" s="6">
        <v>2</v>
      </c>
      <c r="N102" s="7"/>
    </row>
    <row r="103" spans="1:14" x14ac:dyDescent="0.2">
      <c r="A103" s="8">
        <v>46272</v>
      </c>
      <c r="B103" s="6">
        <v>199.55</v>
      </c>
      <c r="C103" s="6">
        <v>3.33</v>
      </c>
      <c r="D103" s="6">
        <v>0</v>
      </c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/>
      <c r="M103" s="6">
        <v>2</v>
      </c>
      <c r="N103" s="7"/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52"/>
  <sheetViews>
    <sheetView zoomScaleNormal="100" workbookViewId="0">
      <pane ySplit="1" topLeftCell="A40" activePane="bottomLeft" state="frozen"/>
      <selection pane="bottomLeft" activeCell="C53" sqref="C53"/>
    </sheetView>
  </sheetViews>
  <sheetFormatPr baseColWidth="10" defaultColWidth="8.6640625" defaultRowHeight="15" x14ac:dyDescent="0.2"/>
  <cols>
    <col min="1" max="4" width="12" customWidth="1"/>
    <col min="5" max="5" width="10" customWidth="1"/>
    <col min="6" max="6" width="16" customWidth="1"/>
    <col min="7" max="7" width="60" customWidth="1"/>
  </cols>
  <sheetData>
    <row r="1" spans="1:7" ht="31.5" customHeight="1" x14ac:dyDescent="0.2">
      <c r="A1" s="4" t="s">
        <v>39</v>
      </c>
      <c r="B1" s="4" t="s">
        <v>81</v>
      </c>
      <c r="C1" s="4" t="s">
        <v>82</v>
      </c>
      <c r="D1" s="4" t="s">
        <v>83</v>
      </c>
      <c r="E1" s="4" t="s">
        <v>80</v>
      </c>
      <c r="F1" s="4" t="s">
        <v>84</v>
      </c>
      <c r="G1" s="4" t="s">
        <v>21</v>
      </c>
    </row>
    <row r="2" spans="1:7" x14ac:dyDescent="0.2">
      <c r="A2" s="8">
        <v>46272</v>
      </c>
      <c r="B2" s="6"/>
      <c r="C2" s="6"/>
      <c r="D2" s="6"/>
      <c r="E2" s="6"/>
      <c r="F2" s="6"/>
      <c r="G2" s="7"/>
    </row>
    <row r="3" spans="1:7" x14ac:dyDescent="0.2">
      <c r="A3" s="8">
        <v>46279</v>
      </c>
      <c r="B3" s="6"/>
      <c r="C3" s="6"/>
      <c r="D3" s="6"/>
      <c r="E3" s="6"/>
      <c r="F3" s="6"/>
      <c r="G3" s="7"/>
    </row>
    <row r="4" spans="1:7" x14ac:dyDescent="0.2">
      <c r="A4" s="8">
        <v>46286</v>
      </c>
      <c r="B4" s="6"/>
      <c r="C4" s="6"/>
      <c r="D4" s="6"/>
      <c r="E4" s="6"/>
      <c r="F4" s="6"/>
      <c r="G4" s="7"/>
    </row>
    <row r="5" spans="1:7" x14ac:dyDescent="0.2">
      <c r="A5" s="8">
        <v>46293</v>
      </c>
      <c r="B5" s="6"/>
      <c r="C5" s="6"/>
      <c r="D5" s="6"/>
      <c r="E5" s="6"/>
      <c r="F5" s="6"/>
      <c r="G5" s="7"/>
    </row>
    <row r="6" spans="1:7" x14ac:dyDescent="0.2">
      <c r="A6" s="8">
        <v>46300</v>
      </c>
      <c r="B6" s="6"/>
      <c r="C6" s="6"/>
      <c r="D6" s="6"/>
      <c r="E6" s="6"/>
      <c r="F6" s="6"/>
      <c r="G6" s="7"/>
    </row>
    <row r="7" spans="1:7" x14ac:dyDescent="0.2">
      <c r="A7" s="8">
        <v>46307</v>
      </c>
      <c r="B7" s="6"/>
      <c r="C7" s="6"/>
      <c r="D7" s="6"/>
      <c r="E7" s="6"/>
      <c r="F7" s="6"/>
      <c r="G7" s="7"/>
    </row>
    <row r="8" spans="1:7" x14ac:dyDescent="0.2">
      <c r="A8" s="8">
        <v>46314</v>
      </c>
      <c r="B8" s="6"/>
      <c r="C8" s="6"/>
      <c r="D8" s="6"/>
      <c r="E8" s="6"/>
      <c r="F8" s="6"/>
      <c r="G8" s="7"/>
    </row>
    <row r="9" spans="1:7" x14ac:dyDescent="0.2">
      <c r="A9" s="8">
        <v>46321</v>
      </c>
      <c r="B9" s="6"/>
      <c r="C9" s="6"/>
      <c r="D9" s="6"/>
      <c r="E9" s="6"/>
      <c r="F9" s="6"/>
      <c r="G9" s="7"/>
    </row>
    <row r="10" spans="1:7" x14ac:dyDescent="0.2">
      <c r="A10" s="8">
        <v>46328</v>
      </c>
      <c r="B10" s="6"/>
      <c r="C10" s="6"/>
      <c r="D10" s="6"/>
      <c r="E10" s="6"/>
      <c r="F10" s="6"/>
      <c r="G10" s="7"/>
    </row>
    <row r="11" spans="1:7" x14ac:dyDescent="0.2">
      <c r="A11" s="8">
        <v>46335</v>
      </c>
      <c r="B11" s="6"/>
      <c r="C11" s="6"/>
      <c r="D11" s="6"/>
      <c r="E11" s="6"/>
      <c r="F11" s="6"/>
      <c r="G11" s="7"/>
    </row>
    <row r="12" spans="1:7" x14ac:dyDescent="0.2">
      <c r="A12" s="8">
        <v>46342</v>
      </c>
      <c r="B12" s="6"/>
      <c r="C12" s="6"/>
      <c r="D12" s="6"/>
      <c r="E12" s="6"/>
      <c r="F12" s="6"/>
      <c r="G12" s="7"/>
    </row>
    <row r="13" spans="1:7" x14ac:dyDescent="0.2">
      <c r="A13" s="8">
        <v>46349</v>
      </c>
      <c r="B13" s="6"/>
      <c r="C13" s="6"/>
      <c r="D13" s="6"/>
      <c r="E13" s="6"/>
      <c r="F13" s="6"/>
      <c r="G13" s="7"/>
    </row>
    <row r="14" spans="1:7" x14ac:dyDescent="0.2">
      <c r="A14" s="8">
        <v>46356</v>
      </c>
      <c r="B14" s="6"/>
      <c r="C14" s="6"/>
      <c r="D14" s="6"/>
      <c r="E14" s="6"/>
      <c r="F14" s="6"/>
      <c r="G14" s="7"/>
    </row>
    <row r="15" spans="1:7" x14ac:dyDescent="0.2">
      <c r="A15" s="8">
        <v>46363</v>
      </c>
      <c r="B15" s="6"/>
      <c r="C15" s="6"/>
      <c r="D15" s="6"/>
      <c r="E15" s="6"/>
      <c r="F15" s="6"/>
      <c r="G15" s="7"/>
    </row>
    <row r="16" spans="1:7" x14ac:dyDescent="0.2">
      <c r="A16" s="8">
        <v>46370</v>
      </c>
      <c r="B16" s="6"/>
      <c r="C16" s="6"/>
      <c r="D16" s="6"/>
      <c r="E16" s="6"/>
      <c r="F16" s="6"/>
      <c r="G16" s="7"/>
    </row>
    <row r="17" spans="1:7" x14ac:dyDescent="0.2">
      <c r="A17" s="8">
        <v>46377</v>
      </c>
      <c r="B17" s="6"/>
      <c r="C17" s="6"/>
      <c r="D17" s="6"/>
      <c r="E17" s="6"/>
      <c r="F17" s="6"/>
      <c r="G17" s="7"/>
    </row>
    <row r="18" spans="1:7" x14ac:dyDescent="0.2">
      <c r="A18" s="8">
        <v>46384</v>
      </c>
      <c r="B18" s="6"/>
      <c r="C18" s="6"/>
      <c r="D18" s="6"/>
      <c r="E18" s="6"/>
      <c r="F18" s="6"/>
      <c r="G18" s="7"/>
    </row>
    <row r="19" spans="1:7" x14ac:dyDescent="0.2">
      <c r="A19" s="8">
        <v>46391</v>
      </c>
      <c r="B19" s="6"/>
      <c r="C19" s="6"/>
      <c r="D19" s="6"/>
      <c r="E19" s="6"/>
      <c r="F19" s="6"/>
      <c r="G19" s="7"/>
    </row>
    <row r="20" spans="1:7" x14ac:dyDescent="0.2">
      <c r="A20" s="8">
        <v>46398</v>
      </c>
      <c r="B20" s="6"/>
      <c r="C20" s="6"/>
      <c r="D20" s="6"/>
      <c r="E20" s="6"/>
      <c r="F20" s="6"/>
      <c r="G20" s="7"/>
    </row>
    <row r="21" spans="1:7" x14ac:dyDescent="0.2">
      <c r="A21" s="8">
        <v>46405</v>
      </c>
      <c r="B21" s="6"/>
      <c r="C21" s="6"/>
      <c r="D21" s="6"/>
      <c r="E21" s="6"/>
      <c r="F21" s="6"/>
      <c r="G21" s="7"/>
    </row>
    <row r="22" spans="1:7" x14ac:dyDescent="0.2">
      <c r="A22" s="8">
        <v>46412</v>
      </c>
      <c r="B22" s="6"/>
      <c r="C22" s="6"/>
      <c r="D22" s="6"/>
      <c r="E22" s="6"/>
      <c r="F22" s="6"/>
      <c r="G22" s="7"/>
    </row>
    <row r="23" spans="1:7" x14ac:dyDescent="0.2">
      <c r="A23" s="8">
        <v>46419</v>
      </c>
      <c r="B23" s="6"/>
      <c r="C23" s="6"/>
      <c r="D23" s="6"/>
      <c r="E23" s="6"/>
      <c r="F23" s="6"/>
      <c r="G23" s="7"/>
    </row>
    <row r="24" spans="1:7" x14ac:dyDescent="0.2">
      <c r="A24" s="8">
        <v>46426</v>
      </c>
      <c r="B24" s="6"/>
      <c r="C24" s="6"/>
      <c r="D24" s="6"/>
      <c r="E24" s="6"/>
      <c r="F24" s="6"/>
      <c r="G24" s="7"/>
    </row>
    <row r="25" spans="1:7" x14ac:dyDescent="0.2">
      <c r="A25" s="8">
        <v>46433</v>
      </c>
      <c r="B25" s="6"/>
      <c r="C25" s="6"/>
      <c r="D25" s="6"/>
      <c r="E25" s="6"/>
      <c r="F25" s="6"/>
      <c r="G25" s="7"/>
    </row>
    <row r="26" spans="1:7" x14ac:dyDescent="0.2">
      <c r="A26" s="8">
        <v>46440</v>
      </c>
      <c r="B26" s="6"/>
      <c r="C26" s="6"/>
      <c r="D26" s="6"/>
      <c r="E26" s="6"/>
      <c r="F26" s="6"/>
      <c r="G26" s="7"/>
    </row>
    <row r="27" spans="1:7" x14ac:dyDescent="0.2">
      <c r="A27" s="8">
        <v>46447</v>
      </c>
      <c r="B27" s="6"/>
      <c r="C27" s="6"/>
      <c r="D27" s="6"/>
      <c r="E27" s="6"/>
      <c r="F27" s="6"/>
      <c r="G27" s="7"/>
    </row>
    <row r="28" spans="1:7" x14ac:dyDescent="0.2">
      <c r="A28" s="8">
        <v>46454</v>
      </c>
      <c r="B28" s="6"/>
      <c r="C28" s="6"/>
      <c r="D28" s="6"/>
      <c r="E28" s="6"/>
      <c r="F28" s="6"/>
      <c r="G28" s="7"/>
    </row>
    <row r="29" spans="1:7" x14ac:dyDescent="0.2">
      <c r="A29" s="8">
        <v>46461</v>
      </c>
      <c r="B29" s="6"/>
      <c r="C29" s="6"/>
      <c r="D29" s="6"/>
      <c r="E29" s="6"/>
      <c r="F29" s="6"/>
      <c r="G29" s="7"/>
    </row>
    <row r="30" spans="1:7" x14ac:dyDescent="0.2">
      <c r="A30" s="8">
        <v>46468</v>
      </c>
      <c r="B30" s="6"/>
      <c r="C30" s="6"/>
      <c r="D30" s="6"/>
      <c r="E30" s="6"/>
      <c r="F30" s="6"/>
      <c r="G30" s="7"/>
    </row>
    <row r="31" spans="1:7" x14ac:dyDescent="0.2">
      <c r="A31" s="8">
        <v>46475</v>
      </c>
      <c r="B31" s="6"/>
      <c r="C31" s="6"/>
      <c r="D31" s="6"/>
      <c r="E31" s="6"/>
      <c r="F31" s="6"/>
      <c r="G31" s="7"/>
    </row>
    <row r="32" spans="1:7" x14ac:dyDescent="0.2">
      <c r="A32" s="8">
        <v>46482</v>
      </c>
      <c r="B32" s="6"/>
      <c r="C32" s="6"/>
      <c r="D32" s="6"/>
      <c r="E32" s="6"/>
      <c r="F32" s="6"/>
      <c r="G32" s="7"/>
    </row>
    <row r="33" spans="1:7" x14ac:dyDescent="0.2">
      <c r="A33" s="8">
        <v>46489</v>
      </c>
      <c r="B33" s="6"/>
      <c r="C33" s="6"/>
      <c r="D33" s="6"/>
      <c r="E33" s="6"/>
      <c r="F33" s="6"/>
      <c r="G33" s="7"/>
    </row>
    <row r="34" spans="1:7" x14ac:dyDescent="0.2">
      <c r="A34" s="8">
        <v>46496</v>
      </c>
      <c r="B34" s="6"/>
      <c r="C34" s="6"/>
      <c r="D34" s="6"/>
      <c r="E34" s="6"/>
      <c r="F34" s="6"/>
      <c r="G34" s="7"/>
    </row>
    <row r="35" spans="1:7" x14ac:dyDescent="0.2">
      <c r="A35" s="8">
        <v>46503</v>
      </c>
      <c r="B35" s="6"/>
      <c r="C35" s="6"/>
      <c r="D35" s="6"/>
      <c r="E35" s="6"/>
      <c r="F35" s="6"/>
      <c r="G35" s="7"/>
    </row>
    <row r="36" spans="1:7" x14ac:dyDescent="0.2">
      <c r="A36" s="8">
        <v>46510</v>
      </c>
      <c r="B36" s="6"/>
      <c r="C36" s="6"/>
      <c r="D36" s="6"/>
      <c r="E36" s="6"/>
      <c r="F36" s="6"/>
      <c r="G36" s="7"/>
    </row>
    <row r="37" spans="1:7" x14ac:dyDescent="0.2">
      <c r="A37" s="8">
        <v>46517</v>
      </c>
      <c r="B37" s="6"/>
      <c r="C37" s="6"/>
      <c r="D37" s="6"/>
      <c r="E37" s="6"/>
      <c r="F37" s="6"/>
      <c r="G37" s="7"/>
    </row>
    <row r="38" spans="1:7" x14ac:dyDescent="0.2">
      <c r="A38" s="8">
        <v>46524</v>
      </c>
      <c r="B38" s="6"/>
      <c r="C38" s="6"/>
      <c r="D38" s="6"/>
      <c r="E38" s="6"/>
      <c r="F38" s="6"/>
      <c r="G38" s="7"/>
    </row>
    <row r="39" spans="1:7" x14ac:dyDescent="0.2">
      <c r="A39" s="8">
        <v>46531</v>
      </c>
      <c r="B39" s="6"/>
      <c r="C39" s="6"/>
      <c r="D39" s="6"/>
      <c r="E39" s="6"/>
      <c r="F39" s="6"/>
      <c r="G39" s="7"/>
    </row>
    <row r="40" spans="1:7" x14ac:dyDescent="0.2">
      <c r="A40" s="8">
        <v>46538</v>
      </c>
      <c r="B40" s="6"/>
      <c r="C40" s="6"/>
      <c r="D40" s="6"/>
      <c r="E40" s="6"/>
      <c r="F40" s="6"/>
      <c r="G40" s="7"/>
    </row>
    <row r="43" spans="1:7" x14ac:dyDescent="0.2">
      <c r="A43" s="14" t="s">
        <v>93</v>
      </c>
    </row>
    <row r="44" spans="1:7" ht="31.5" customHeight="1" x14ac:dyDescent="0.2">
      <c r="A44" s="4" t="s">
        <v>94</v>
      </c>
      <c r="B44" s="4" t="s">
        <v>95</v>
      </c>
      <c r="C44" s="4" t="s">
        <v>96</v>
      </c>
      <c r="D44" s="4" t="s">
        <v>97</v>
      </c>
      <c r="E44" s="4" t="s">
        <v>98</v>
      </c>
    </row>
    <row r="45" spans="1:7" x14ac:dyDescent="0.2">
      <c r="A45" s="6" t="s">
        <v>81</v>
      </c>
      <c r="B45" s="6" t="s">
        <v>133</v>
      </c>
      <c r="C45" s="6">
        <v>-0.39800000000000002</v>
      </c>
      <c r="D45" s="6" t="s">
        <v>129</v>
      </c>
      <c r="E45" s="8">
        <v>46274</v>
      </c>
    </row>
    <row r="46" spans="1:7" x14ac:dyDescent="0.2">
      <c r="A46" s="6" t="s">
        <v>80</v>
      </c>
      <c r="B46" s="6" t="s">
        <v>133</v>
      </c>
      <c r="C46" s="16" t="s">
        <v>132</v>
      </c>
      <c r="D46" s="6" t="s">
        <v>130</v>
      </c>
      <c r="E46" s="8">
        <v>46274</v>
      </c>
    </row>
    <row r="47" spans="1:7" x14ac:dyDescent="0.2">
      <c r="A47" s="6" t="s">
        <v>99</v>
      </c>
      <c r="B47" s="6" t="s">
        <v>133</v>
      </c>
      <c r="C47" s="16" t="s">
        <v>132</v>
      </c>
      <c r="D47" s="6" t="s">
        <v>130</v>
      </c>
      <c r="E47" s="8">
        <v>46274</v>
      </c>
    </row>
    <row r="48" spans="1:7" x14ac:dyDescent="0.2">
      <c r="A48" s="6" t="s">
        <v>100</v>
      </c>
      <c r="B48" s="6" t="s">
        <v>133</v>
      </c>
      <c r="C48" s="16" t="s">
        <v>132</v>
      </c>
      <c r="D48" s="6" t="s">
        <v>130</v>
      </c>
      <c r="E48" s="8">
        <v>46274</v>
      </c>
    </row>
    <row r="49" spans="1:5" x14ac:dyDescent="0.2">
      <c r="A49" s="6" t="s">
        <v>101</v>
      </c>
      <c r="B49" s="6" t="s">
        <v>133</v>
      </c>
      <c r="C49" s="16" t="s">
        <v>132</v>
      </c>
      <c r="D49" s="6" t="s">
        <v>130</v>
      </c>
      <c r="E49" s="8">
        <v>46274</v>
      </c>
    </row>
    <row r="50" spans="1:5" x14ac:dyDescent="0.2">
      <c r="A50" s="6" t="s">
        <v>82</v>
      </c>
      <c r="B50" s="6" t="s">
        <v>131</v>
      </c>
      <c r="C50" s="16" t="s">
        <v>131</v>
      </c>
      <c r="D50" s="6" t="s">
        <v>130</v>
      </c>
      <c r="E50" s="8">
        <v>46274</v>
      </c>
    </row>
    <row r="51" spans="1:5" x14ac:dyDescent="0.2">
      <c r="A51" s="6" t="s">
        <v>83</v>
      </c>
      <c r="B51" s="6" t="s">
        <v>133</v>
      </c>
      <c r="C51" s="16" t="s">
        <v>132</v>
      </c>
      <c r="D51" s="6" t="s">
        <v>130</v>
      </c>
      <c r="E51" s="8">
        <v>46274</v>
      </c>
    </row>
    <row r="52" spans="1:5" x14ac:dyDescent="0.2">
      <c r="A52" s="12" t="s">
        <v>102</v>
      </c>
    </row>
  </sheetData>
  <dataValidations count="2">
    <dataValidation type="list" allowBlank="1" sqref="D45:D51" xr:uid="{00000000-0002-0000-0600-000000000000}">
      <formula1>"Low,Medium,High"</formula1>
      <formula2>0</formula2>
    </dataValidation>
    <dataValidation type="list" allowBlank="1" sqref="B45:B51" xr:uid="{00000000-0002-0000-0600-000001000000}">
      <formula1>"Upward,Downward,No Trend,Sporadic"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4"/>
  <sheetViews>
    <sheetView tabSelected="1" zoomScaleNormal="100" workbookViewId="0">
      <pane ySplit="1" topLeftCell="A2" activePane="bottomLeft" state="frozen"/>
      <selection pane="bottomLeft" activeCell="J14" sqref="J14"/>
    </sheetView>
  </sheetViews>
  <sheetFormatPr baseColWidth="10" defaultColWidth="8.6640625" defaultRowHeight="15" x14ac:dyDescent="0.2"/>
  <cols>
    <col min="1" max="1" width="12" customWidth="1"/>
    <col min="2" max="4" width="11" customWidth="1"/>
    <col min="5" max="5" width="14" customWidth="1"/>
    <col min="6" max="9" width="11" customWidth="1"/>
    <col min="10" max="10" width="50" customWidth="1"/>
  </cols>
  <sheetData>
    <row r="1" spans="1:10" ht="31.5" customHeight="1" x14ac:dyDescent="0.2">
      <c r="A1" s="4" t="s">
        <v>39</v>
      </c>
      <c r="B1" s="4" t="s">
        <v>103</v>
      </c>
      <c r="C1" s="4" t="s">
        <v>104</v>
      </c>
      <c r="D1" s="4" t="s">
        <v>105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21</v>
      </c>
    </row>
    <row r="2" spans="1:10" x14ac:dyDescent="0.2">
      <c r="A2" s="8">
        <v>46272</v>
      </c>
      <c r="B2" s="15">
        <v>0.123</v>
      </c>
      <c r="C2" s="15">
        <v>2.8799999999999999E-2</v>
      </c>
      <c r="D2" s="15">
        <v>2.9999999999999997E-4</v>
      </c>
      <c r="E2" s="6"/>
      <c r="F2" s="6"/>
      <c r="G2" s="15"/>
      <c r="H2" s="15"/>
      <c r="I2" s="15"/>
      <c r="J2" s="7"/>
    </row>
    <row r="3" spans="1:10" x14ac:dyDescent="0.2">
      <c r="A3" s="8">
        <v>46279</v>
      </c>
      <c r="B3" s="15">
        <v>0.121</v>
      </c>
      <c r="C3" s="15">
        <v>3.9699999999999999E-2</v>
      </c>
      <c r="D3" s="15">
        <v>3.6000000000000002E-4</v>
      </c>
      <c r="E3" s="6"/>
      <c r="F3" s="6"/>
      <c r="G3" s="15"/>
      <c r="H3" s="15"/>
      <c r="I3" s="15"/>
      <c r="J3" s="7"/>
    </row>
    <row r="4" spans="1:10" x14ac:dyDescent="0.2">
      <c r="A4" s="8">
        <v>46286</v>
      </c>
      <c r="B4" s="15">
        <v>0.111</v>
      </c>
      <c r="C4" s="15">
        <v>5.1999999999999998E-2</v>
      </c>
      <c r="D4" s="15">
        <v>4.3999999999999999E-5</v>
      </c>
      <c r="E4" s="6"/>
      <c r="F4" s="6"/>
      <c r="G4" s="15"/>
      <c r="H4" s="15"/>
      <c r="I4" s="15"/>
      <c r="J4" s="7"/>
    </row>
    <row r="5" spans="1:10" x14ac:dyDescent="0.2">
      <c r="A5" s="8">
        <v>46293</v>
      </c>
      <c r="B5" s="15">
        <v>9.7000000000000003E-2</v>
      </c>
      <c r="C5" s="15">
        <v>6.6000000000000003E-2</v>
      </c>
      <c r="D5" s="15">
        <v>4.3999999999999999E-5</v>
      </c>
      <c r="E5" s="6" t="s">
        <v>134</v>
      </c>
      <c r="F5" s="6">
        <v>0.95</v>
      </c>
      <c r="G5" s="15"/>
      <c r="H5" s="15"/>
      <c r="I5" s="15"/>
      <c r="J5" s="7"/>
    </row>
    <row r="6" spans="1:10" x14ac:dyDescent="0.2">
      <c r="A6" s="8">
        <v>46300</v>
      </c>
      <c r="B6" s="15"/>
      <c r="C6" s="15"/>
      <c r="D6" s="15"/>
      <c r="E6" s="6"/>
      <c r="F6" s="6"/>
      <c r="G6" s="15"/>
      <c r="H6" s="15"/>
      <c r="I6" s="15"/>
      <c r="J6" s="7"/>
    </row>
    <row r="7" spans="1:10" x14ac:dyDescent="0.2">
      <c r="A7" s="8">
        <v>46307</v>
      </c>
      <c r="B7" s="15"/>
      <c r="C7" s="15"/>
      <c r="D7" s="15"/>
      <c r="E7" s="6"/>
      <c r="F7" s="6"/>
      <c r="G7" s="15"/>
      <c r="H7" s="15"/>
      <c r="I7" s="15"/>
      <c r="J7" s="7"/>
    </row>
    <row r="8" spans="1:10" x14ac:dyDescent="0.2">
      <c r="A8" s="8">
        <v>46314</v>
      </c>
      <c r="B8" s="15"/>
      <c r="C8" s="15"/>
      <c r="D8" s="15"/>
      <c r="E8" s="6"/>
      <c r="F8" s="6"/>
      <c r="G8" s="15"/>
      <c r="H8" s="15"/>
      <c r="I8" s="15"/>
      <c r="J8" s="7"/>
    </row>
    <row r="9" spans="1:10" x14ac:dyDescent="0.2">
      <c r="A9" s="8">
        <v>46321</v>
      </c>
      <c r="B9" s="15"/>
      <c r="C9" s="15"/>
      <c r="D9" s="15"/>
      <c r="E9" s="6"/>
      <c r="F9" s="6"/>
      <c r="G9" s="15"/>
      <c r="H9" s="15"/>
      <c r="I9" s="15"/>
      <c r="J9" s="7"/>
    </row>
    <row r="10" spans="1:10" x14ac:dyDescent="0.2">
      <c r="A10" s="8">
        <v>46328</v>
      </c>
      <c r="B10" s="15"/>
      <c r="C10" s="15"/>
      <c r="D10" s="15"/>
      <c r="E10" s="6"/>
      <c r="F10" s="6"/>
      <c r="G10" s="15"/>
      <c r="H10" s="15"/>
      <c r="I10" s="15"/>
      <c r="J10" s="7"/>
    </row>
    <row r="11" spans="1:10" x14ac:dyDescent="0.2">
      <c r="A11" s="8">
        <v>46335</v>
      </c>
      <c r="B11" s="15"/>
      <c r="C11" s="15"/>
      <c r="D11" s="15"/>
      <c r="E11" s="6"/>
      <c r="F11" s="6"/>
      <c r="G11" s="15"/>
      <c r="H11" s="15"/>
      <c r="I11" s="15"/>
      <c r="J11" s="7"/>
    </row>
    <row r="12" spans="1:10" x14ac:dyDescent="0.2">
      <c r="A12" s="8">
        <v>46342</v>
      </c>
      <c r="B12" s="15"/>
      <c r="C12" s="15"/>
      <c r="D12" s="15"/>
      <c r="E12" s="6"/>
      <c r="F12" s="6"/>
      <c r="G12" s="15"/>
      <c r="H12" s="15"/>
      <c r="I12" s="15"/>
      <c r="J12" s="7"/>
    </row>
    <row r="13" spans="1:10" x14ac:dyDescent="0.2">
      <c r="A13" s="8">
        <v>46349</v>
      </c>
      <c r="B13" s="15"/>
      <c r="C13" s="15"/>
      <c r="D13" s="15"/>
      <c r="E13" s="6"/>
      <c r="F13" s="6"/>
      <c r="G13" s="15"/>
      <c r="H13" s="15"/>
      <c r="I13" s="15"/>
      <c r="J13" s="7"/>
    </row>
    <row r="14" spans="1:10" x14ac:dyDescent="0.2">
      <c r="A14" s="8">
        <v>46356</v>
      </c>
      <c r="B14" s="15"/>
      <c r="C14" s="15"/>
      <c r="D14" s="15"/>
      <c r="E14" s="6"/>
      <c r="F14" s="6"/>
      <c r="G14" s="15"/>
      <c r="H14" s="15"/>
      <c r="I14" s="15"/>
      <c r="J14" s="7"/>
    </row>
    <row r="15" spans="1:10" x14ac:dyDescent="0.2">
      <c r="A15" s="8">
        <v>46363</v>
      </c>
      <c r="B15" s="15"/>
      <c r="C15" s="15"/>
      <c r="D15" s="15"/>
      <c r="E15" s="6"/>
      <c r="F15" s="6"/>
      <c r="G15" s="15"/>
      <c r="H15" s="15"/>
      <c r="I15" s="15"/>
      <c r="J15" s="7"/>
    </row>
    <row r="16" spans="1:10" x14ac:dyDescent="0.2">
      <c r="A16" s="8">
        <v>46370</v>
      </c>
      <c r="B16" s="15"/>
      <c r="C16" s="15"/>
      <c r="D16" s="15"/>
      <c r="E16" s="6"/>
      <c r="F16" s="6"/>
      <c r="G16" s="15"/>
      <c r="H16" s="15"/>
      <c r="I16" s="15"/>
      <c r="J16" s="7"/>
    </row>
    <row r="17" spans="1:10" x14ac:dyDescent="0.2">
      <c r="A17" s="8">
        <v>46377</v>
      </c>
      <c r="B17" s="15"/>
      <c r="C17" s="15"/>
      <c r="D17" s="15"/>
      <c r="E17" s="6"/>
      <c r="F17" s="6"/>
      <c r="G17" s="15"/>
      <c r="H17" s="15"/>
      <c r="I17" s="15"/>
      <c r="J17" s="7"/>
    </row>
    <row r="18" spans="1:10" x14ac:dyDescent="0.2">
      <c r="A18" s="8">
        <v>46384</v>
      </c>
      <c r="B18" s="15"/>
      <c r="C18" s="15"/>
      <c r="D18" s="15"/>
      <c r="E18" s="6"/>
      <c r="F18" s="6"/>
      <c r="G18" s="15"/>
      <c r="H18" s="15"/>
      <c r="I18" s="15"/>
      <c r="J18" s="7"/>
    </row>
    <row r="19" spans="1:10" x14ac:dyDescent="0.2">
      <c r="A19" s="8">
        <v>46391</v>
      </c>
      <c r="B19" s="15"/>
      <c r="C19" s="15"/>
      <c r="D19" s="15"/>
      <c r="E19" s="6"/>
      <c r="F19" s="6"/>
      <c r="G19" s="15"/>
      <c r="H19" s="15"/>
      <c r="I19" s="15"/>
      <c r="J19" s="7"/>
    </row>
    <row r="20" spans="1:10" x14ac:dyDescent="0.2">
      <c r="A20" s="8">
        <v>46398</v>
      </c>
      <c r="B20" s="15"/>
      <c r="C20" s="15"/>
      <c r="D20" s="15"/>
      <c r="E20" s="6"/>
      <c r="F20" s="6"/>
      <c r="G20" s="15"/>
      <c r="H20" s="15"/>
      <c r="I20" s="15"/>
      <c r="J20" s="7"/>
    </row>
    <row r="21" spans="1:10" x14ac:dyDescent="0.2">
      <c r="A21" s="8">
        <v>46405</v>
      </c>
      <c r="B21" s="15"/>
      <c r="C21" s="15"/>
      <c r="D21" s="15"/>
      <c r="E21" s="6"/>
      <c r="F21" s="6"/>
      <c r="G21" s="15"/>
      <c r="H21" s="15"/>
      <c r="I21" s="15"/>
      <c r="J21" s="7"/>
    </row>
    <row r="22" spans="1:10" x14ac:dyDescent="0.2">
      <c r="A22" s="8">
        <v>46412</v>
      </c>
      <c r="B22" s="15"/>
      <c r="C22" s="15"/>
      <c r="D22" s="15"/>
      <c r="E22" s="6"/>
      <c r="F22" s="6"/>
      <c r="G22" s="15"/>
      <c r="H22" s="15"/>
      <c r="I22" s="15"/>
      <c r="J22" s="7"/>
    </row>
    <row r="23" spans="1:10" x14ac:dyDescent="0.2">
      <c r="A23" s="8">
        <v>46419</v>
      </c>
      <c r="B23" s="15"/>
      <c r="C23" s="15"/>
      <c r="D23" s="15"/>
      <c r="E23" s="6"/>
      <c r="F23" s="6"/>
      <c r="G23" s="15"/>
      <c r="H23" s="15"/>
      <c r="I23" s="15"/>
      <c r="J23" s="7"/>
    </row>
    <row r="24" spans="1:10" x14ac:dyDescent="0.2">
      <c r="A24" s="8">
        <v>46426</v>
      </c>
      <c r="B24" s="15"/>
      <c r="C24" s="15"/>
      <c r="D24" s="15"/>
      <c r="E24" s="6"/>
      <c r="F24" s="6"/>
      <c r="G24" s="15"/>
      <c r="H24" s="15"/>
      <c r="I24" s="15"/>
      <c r="J24" s="7"/>
    </row>
    <row r="25" spans="1:10" x14ac:dyDescent="0.2">
      <c r="A25" s="8">
        <v>46433</v>
      </c>
      <c r="B25" s="15"/>
      <c r="C25" s="15"/>
      <c r="D25" s="15"/>
      <c r="E25" s="6"/>
      <c r="F25" s="6"/>
      <c r="G25" s="15"/>
      <c r="H25" s="15"/>
      <c r="I25" s="15"/>
      <c r="J25" s="7"/>
    </row>
    <row r="26" spans="1:10" x14ac:dyDescent="0.2">
      <c r="A26" s="8">
        <v>46440</v>
      </c>
      <c r="B26" s="15"/>
      <c r="C26" s="15"/>
      <c r="D26" s="15"/>
      <c r="E26" s="6"/>
      <c r="F26" s="6"/>
      <c r="G26" s="15"/>
      <c r="H26" s="15"/>
      <c r="I26" s="15"/>
      <c r="J26" s="7"/>
    </row>
    <row r="27" spans="1:10" x14ac:dyDescent="0.2">
      <c r="A27" s="8">
        <v>46447</v>
      </c>
      <c r="B27" s="15"/>
      <c r="C27" s="15"/>
      <c r="D27" s="15"/>
      <c r="E27" s="6"/>
      <c r="F27" s="6"/>
      <c r="G27" s="15"/>
      <c r="H27" s="15"/>
      <c r="I27" s="15"/>
      <c r="J27" s="7"/>
    </row>
    <row r="28" spans="1:10" x14ac:dyDescent="0.2">
      <c r="A28" s="8">
        <v>46454</v>
      </c>
      <c r="B28" s="15"/>
      <c r="C28" s="15"/>
      <c r="D28" s="15"/>
      <c r="E28" s="6"/>
      <c r="F28" s="6"/>
      <c r="G28" s="15"/>
      <c r="H28" s="15"/>
      <c r="I28" s="15"/>
      <c r="J28" s="7"/>
    </row>
    <row r="29" spans="1:10" x14ac:dyDescent="0.2">
      <c r="A29" s="8">
        <v>46461</v>
      </c>
      <c r="B29" s="15"/>
      <c r="C29" s="15"/>
      <c r="D29" s="15"/>
      <c r="E29" s="6"/>
      <c r="F29" s="6"/>
      <c r="G29" s="15"/>
      <c r="H29" s="15"/>
      <c r="I29" s="15"/>
      <c r="J29" s="7"/>
    </row>
    <row r="30" spans="1:10" x14ac:dyDescent="0.2">
      <c r="A30" s="8">
        <v>46468</v>
      </c>
      <c r="B30" s="15"/>
      <c r="C30" s="15"/>
      <c r="D30" s="15"/>
      <c r="E30" s="6"/>
      <c r="F30" s="6"/>
      <c r="G30" s="15"/>
      <c r="H30" s="15"/>
      <c r="I30" s="15"/>
      <c r="J30" s="7"/>
    </row>
    <row r="31" spans="1:10" x14ac:dyDescent="0.2">
      <c r="A31" s="8">
        <v>46475</v>
      </c>
      <c r="B31" s="15"/>
      <c r="C31" s="15"/>
      <c r="D31" s="15"/>
      <c r="E31" s="6"/>
      <c r="F31" s="6"/>
      <c r="G31" s="15"/>
      <c r="H31" s="15"/>
      <c r="I31" s="15"/>
      <c r="J31" s="7"/>
    </row>
    <row r="32" spans="1:10" x14ac:dyDescent="0.2">
      <c r="A32" s="8">
        <v>46482</v>
      </c>
      <c r="B32" s="15"/>
      <c r="C32" s="15"/>
      <c r="D32" s="15"/>
      <c r="E32" s="6"/>
      <c r="F32" s="6"/>
      <c r="G32" s="15"/>
      <c r="H32" s="15"/>
      <c r="I32" s="15"/>
      <c r="J32" s="7"/>
    </row>
    <row r="33" spans="1:10" x14ac:dyDescent="0.2">
      <c r="A33" s="8">
        <v>46489</v>
      </c>
      <c r="B33" s="15"/>
      <c r="C33" s="15"/>
      <c r="D33" s="15"/>
      <c r="E33" s="6"/>
      <c r="F33" s="6"/>
      <c r="G33" s="15"/>
      <c r="H33" s="15"/>
      <c r="I33" s="15"/>
      <c r="J33" s="7"/>
    </row>
    <row r="34" spans="1:10" x14ac:dyDescent="0.2">
      <c r="A34" s="8">
        <v>46496</v>
      </c>
      <c r="B34" s="15"/>
      <c r="C34" s="15"/>
      <c r="D34" s="15"/>
      <c r="E34" s="6"/>
      <c r="F34" s="6"/>
      <c r="G34" s="15"/>
      <c r="H34" s="15"/>
      <c r="I34" s="15"/>
      <c r="J34" s="7"/>
    </row>
    <row r="35" spans="1:10" x14ac:dyDescent="0.2">
      <c r="A35" s="8">
        <v>46503</v>
      </c>
      <c r="B35" s="15"/>
      <c r="C35" s="15"/>
      <c r="D35" s="15"/>
      <c r="E35" s="6"/>
      <c r="F35" s="6"/>
      <c r="G35" s="15"/>
      <c r="H35" s="15"/>
      <c r="I35" s="15"/>
      <c r="J35" s="7"/>
    </row>
    <row r="36" spans="1:10" x14ac:dyDescent="0.2">
      <c r="A36" s="8">
        <v>46510</v>
      </c>
      <c r="B36" s="15"/>
      <c r="C36" s="15"/>
      <c r="D36" s="15"/>
      <c r="E36" s="6"/>
      <c r="F36" s="6"/>
      <c r="G36" s="15"/>
      <c r="H36" s="15"/>
      <c r="I36" s="15"/>
      <c r="J36" s="7"/>
    </row>
    <row r="37" spans="1:10" x14ac:dyDescent="0.2">
      <c r="A37" s="8">
        <v>46517</v>
      </c>
      <c r="B37" s="15"/>
      <c r="C37" s="15"/>
      <c r="D37" s="15"/>
      <c r="E37" s="6"/>
      <c r="F37" s="6"/>
      <c r="G37" s="15"/>
      <c r="H37" s="15"/>
      <c r="I37" s="15"/>
      <c r="J37" s="7"/>
    </row>
    <row r="38" spans="1:10" x14ac:dyDescent="0.2">
      <c r="A38" s="8">
        <v>46524</v>
      </c>
      <c r="B38" s="15"/>
      <c r="C38" s="15"/>
      <c r="D38" s="15"/>
      <c r="E38" s="6"/>
      <c r="F38" s="6"/>
      <c r="G38" s="15"/>
      <c r="H38" s="15"/>
      <c r="I38" s="15"/>
      <c r="J38" s="7"/>
    </row>
    <row r="39" spans="1:10" x14ac:dyDescent="0.2">
      <c r="A39" s="8">
        <v>46531</v>
      </c>
      <c r="B39" s="15"/>
      <c r="C39" s="15"/>
      <c r="D39" s="15"/>
      <c r="E39" s="6"/>
      <c r="F39" s="6"/>
      <c r="G39" s="15"/>
      <c r="H39" s="15"/>
      <c r="I39" s="15"/>
      <c r="J39" s="7"/>
    </row>
    <row r="40" spans="1:10" x14ac:dyDescent="0.2">
      <c r="A40" s="8">
        <v>46538</v>
      </c>
      <c r="B40" s="15"/>
      <c r="C40" s="15"/>
      <c r="D40" s="15"/>
      <c r="E40" s="6"/>
      <c r="F40" s="6"/>
      <c r="G40" s="15"/>
      <c r="H40" s="15"/>
      <c r="I40" s="15"/>
      <c r="J40" s="7"/>
    </row>
    <row r="44" spans="1:10" x14ac:dyDescent="0.2">
      <c r="A44" t="s">
        <v>128</v>
      </c>
    </row>
  </sheetData>
  <dataValidations count="1">
    <dataValidation type="list" allowBlank="1" sqref="E2:E200" xr:uid="{00000000-0002-0000-0700-000000000000}">
      <formula1>"Minimal,Low,Moderate,High,Very High"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10" customWidth="1"/>
    <col min="2" max="2" width="12" customWidth="1"/>
    <col min="3" max="4" width="9" customWidth="1"/>
    <col min="5" max="5" width="12" customWidth="1"/>
    <col min="6" max="6" width="8" customWidth="1"/>
    <col min="7" max="7" width="12" customWidth="1"/>
  </cols>
  <sheetData>
    <row r="1" spans="1:7" ht="31.5" customHeight="1" x14ac:dyDescent="0.2">
      <c r="A1" s="4" t="s">
        <v>58</v>
      </c>
      <c r="B1" s="4" t="s">
        <v>111</v>
      </c>
      <c r="C1" s="4" t="s">
        <v>112</v>
      </c>
      <c r="D1" s="4" t="s">
        <v>113</v>
      </c>
      <c r="E1" s="4" t="s">
        <v>114</v>
      </c>
      <c r="F1" s="4" t="s">
        <v>115</v>
      </c>
      <c r="G1" s="4" t="s">
        <v>116</v>
      </c>
    </row>
    <row r="2" spans="1:7" x14ac:dyDescent="0.2">
      <c r="A2" s="6" t="s">
        <v>77</v>
      </c>
      <c r="B2" s="6" t="s">
        <v>117</v>
      </c>
      <c r="C2" s="6">
        <v>4</v>
      </c>
      <c r="D2" s="6">
        <v>2</v>
      </c>
      <c r="E2" s="6">
        <v>1</v>
      </c>
      <c r="F2" s="5">
        <f t="shared" ref="F2:F11" si="0">SUM(C2:E2)</f>
        <v>7</v>
      </c>
      <c r="G2" s="10">
        <f t="shared" ref="G2:G11" si="1">IF(F2=0,"",D2/F2)</f>
        <v>0.2857142857142857</v>
      </c>
    </row>
    <row r="3" spans="1:7" x14ac:dyDescent="0.2">
      <c r="A3" s="6" t="s">
        <v>77</v>
      </c>
      <c r="B3" s="6" t="s">
        <v>118</v>
      </c>
      <c r="C3" s="6">
        <v>5</v>
      </c>
      <c r="D3" s="6">
        <v>0</v>
      </c>
      <c r="E3" s="6">
        <v>0</v>
      </c>
      <c r="F3" s="5">
        <f t="shared" si="0"/>
        <v>5</v>
      </c>
      <c r="G3" s="10">
        <f t="shared" si="1"/>
        <v>0</v>
      </c>
    </row>
    <row r="4" spans="1:7" x14ac:dyDescent="0.2">
      <c r="A4" s="6" t="s">
        <v>77</v>
      </c>
      <c r="B4" s="6" t="s">
        <v>119</v>
      </c>
      <c r="C4" s="6">
        <v>4</v>
      </c>
      <c r="D4" s="6">
        <v>0</v>
      </c>
      <c r="E4" s="6">
        <v>1</v>
      </c>
      <c r="F4" s="5">
        <f t="shared" si="0"/>
        <v>5</v>
      </c>
      <c r="G4" s="10">
        <f t="shared" si="1"/>
        <v>0</v>
      </c>
    </row>
    <row r="5" spans="1:7" x14ac:dyDescent="0.2">
      <c r="A5" s="6" t="s">
        <v>77</v>
      </c>
      <c r="B5" s="6" t="s">
        <v>120</v>
      </c>
      <c r="C5" s="6">
        <v>2</v>
      </c>
      <c r="D5" s="6">
        <v>0</v>
      </c>
      <c r="E5" s="6">
        <v>1</v>
      </c>
      <c r="F5" s="5">
        <f t="shared" si="0"/>
        <v>3</v>
      </c>
      <c r="G5" s="10">
        <f t="shared" si="1"/>
        <v>0</v>
      </c>
    </row>
    <row r="6" spans="1:7" x14ac:dyDescent="0.2">
      <c r="A6" s="6" t="s">
        <v>77</v>
      </c>
      <c r="B6" s="6" t="s">
        <v>121</v>
      </c>
      <c r="C6" s="6">
        <v>1</v>
      </c>
      <c r="D6" s="6">
        <v>0</v>
      </c>
      <c r="E6" s="6">
        <v>0</v>
      </c>
      <c r="F6" s="5">
        <f t="shared" si="0"/>
        <v>1</v>
      </c>
      <c r="G6" s="10">
        <f t="shared" si="1"/>
        <v>0</v>
      </c>
    </row>
    <row r="7" spans="1:7" x14ac:dyDescent="0.2">
      <c r="A7" s="6" t="s">
        <v>23</v>
      </c>
      <c r="B7" s="6" t="s">
        <v>117</v>
      </c>
      <c r="C7" s="6"/>
      <c r="D7" s="6"/>
      <c r="E7" s="6"/>
      <c r="F7" s="5">
        <f t="shared" si="0"/>
        <v>0</v>
      </c>
      <c r="G7" s="10" t="str">
        <f t="shared" si="1"/>
        <v/>
      </c>
    </row>
    <row r="8" spans="1:7" x14ac:dyDescent="0.2">
      <c r="A8" s="6" t="s">
        <v>23</v>
      </c>
      <c r="B8" s="6" t="s">
        <v>118</v>
      </c>
      <c r="C8" s="6"/>
      <c r="D8" s="6"/>
      <c r="E8" s="6"/>
      <c r="F8" s="5">
        <f t="shared" si="0"/>
        <v>0</v>
      </c>
      <c r="G8" s="10" t="str">
        <f t="shared" si="1"/>
        <v/>
      </c>
    </row>
    <row r="9" spans="1:7" x14ac:dyDescent="0.2">
      <c r="A9" s="6" t="s">
        <v>23</v>
      </c>
      <c r="B9" s="6" t="s">
        <v>119</v>
      </c>
      <c r="C9" s="6"/>
      <c r="D9" s="6"/>
      <c r="E9" s="6"/>
      <c r="F9" s="5">
        <f t="shared" si="0"/>
        <v>0</v>
      </c>
      <c r="G9" s="10" t="str">
        <f t="shared" si="1"/>
        <v/>
      </c>
    </row>
    <row r="10" spans="1:7" x14ac:dyDescent="0.2">
      <c r="A10" s="6" t="s">
        <v>23</v>
      </c>
      <c r="B10" s="6" t="s">
        <v>120</v>
      </c>
      <c r="C10" s="6"/>
      <c r="D10" s="6"/>
      <c r="E10" s="6"/>
      <c r="F10" s="5">
        <f t="shared" si="0"/>
        <v>0</v>
      </c>
      <c r="G10" s="10" t="str">
        <f t="shared" si="1"/>
        <v/>
      </c>
    </row>
    <row r="11" spans="1:7" x14ac:dyDescent="0.2">
      <c r="A11" s="6" t="s">
        <v>23</v>
      </c>
      <c r="B11" s="6" t="s">
        <v>121</v>
      </c>
      <c r="C11" s="6"/>
      <c r="D11" s="6"/>
      <c r="E11" s="6"/>
      <c r="F11" s="5">
        <f t="shared" si="0"/>
        <v>0</v>
      </c>
      <c r="G11" s="10" t="str">
        <f t="shared" si="1"/>
        <v/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zoomScaleNormal="100" workbookViewId="0">
      <pane ySplit="1" topLeftCell="A2" activePane="bottomLeft" state="frozen"/>
      <selection pane="bottomLeft" activeCell="A4" sqref="A4"/>
    </sheetView>
  </sheetViews>
  <sheetFormatPr baseColWidth="10" defaultColWidth="8.6640625" defaultRowHeight="15" x14ac:dyDescent="0.2"/>
  <cols>
    <col min="1" max="1" width="12" customWidth="1"/>
    <col min="2" max="2" width="90" customWidth="1"/>
    <col min="3" max="3" width="50" customWidth="1"/>
  </cols>
  <sheetData>
    <row r="1" spans="1:3" ht="31.5" customHeight="1" x14ac:dyDescent="0.2">
      <c r="A1" s="4" t="s">
        <v>122</v>
      </c>
      <c r="B1" s="4" t="s">
        <v>123</v>
      </c>
      <c r="C1" s="4" t="s">
        <v>124</v>
      </c>
    </row>
    <row r="2" spans="1:3" ht="28" x14ac:dyDescent="0.2">
      <c r="A2" s="8">
        <v>46111</v>
      </c>
      <c r="B2" s="9" t="s">
        <v>125</v>
      </c>
      <c r="C2" s="6" t="s">
        <v>126</v>
      </c>
    </row>
    <row r="3" spans="1:3" x14ac:dyDescent="0.2">
      <c r="A3" s="8">
        <v>46111</v>
      </c>
      <c r="B3" s="9" t="s">
        <v>127</v>
      </c>
      <c r="C3" s="6" t="s">
        <v>128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README</vt:lpstr>
      <vt:lpstr>Config</vt:lpstr>
      <vt:lpstr>Weekly_Local</vt:lpstr>
      <vt:lpstr>Weekly_ELR</vt:lpstr>
      <vt:lpstr>Seasons</vt:lpstr>
      <vt:lpstr>Wastewater_History</vt:lpstr>
      <vt:lpstr>Wastewater_Local</vt:lpstr>
      <vt:lpstr>State_National</vt:lpstr>
      <vt:lpstr>Flu_Age_Vax</vt:lpstr>
      <vt:lpstr>Highlights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Emily Janoff</cp:lastModifiedBy>
  <cp:revision>0</cp:revision>
  <dcterms:created xsi:type="dcterms:W3CDTF">2026-09-15T17:05:57Z</dcterms:created>
  <dcterms:modified xsi:type="dcterms:W3CDTF">2026-10-07T16:54:46Z</dcterms:modified>
  <dc:language>en-US</dc:language>
</cp:coreProperties>
</file>